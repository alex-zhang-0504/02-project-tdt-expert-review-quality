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acc4cae63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RX评审表" sheetId="1" r:id="Rd23181cec20248de"/>
    <x:sheet xmlns:r="http://schemas.openxmlformats.org/officeDocument/2006/relationships" name="评审专家打分表" sheetId="2" r:id="R84f9c385b004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"/>
  </x:numFmts>
  <x:fonts count="9">
    <x:font>
      <x:sz val="11"/>
      <x:name val="Carlito"/>
    </x:font>
    <x:font>
      <x:b/>
      <x:sz val="16"/>
      <x:color rgb="FFFFFFFF"/>
      <x:name val="Microsoft YaHei"/>
    </x:font>
    <x:font>
      <x:sz val="9"/>
      <x:color rgb="FF7F6000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  <x:font>
      <x:sz val="9"/>
      <x:color rgb="FF244A73"/>
      <x:name val="Microsoft YaHei"/>
    </x:font>
  </x:fonts>
  <x:fills count="14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1EA"/>
      </x:patternFill>
    </x:fill>
    <x:fill>
      <x:patternFill patternType="solid">
        <x:fgColor rgb="FF5B7FA3"/>
      </x:patternFill>
    </x:fill>
    <x:fill>
      <x:patternFill patternType="solid">
        <x:fgColor rgb="FFA67C00"/>
      </x:patternFill>
    </x:fill>
    <x:fill>
      <x:patternFill patternType="solid">
        <x:fgColor rgb="FFEAF2F8"/>
      </x:patternFill>
    </x:fill>
    <x:fill>
      <x:patternFill patternType="solid">
        <x:fgColor rgb="FF8A6D1D"/>
      </x:patternFill>
    </x:fill>
    <x:fill>
      <x:patternFill patternType="solid">
        <x:fgColor rgb="FF6B7280"/>
      </x:patternFill>
    </x:fill>
    <x:fill>
      <x:patternFill patternType="solid">
        <x:fgColor rgb="FFFFE69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29">
    <x:border/>
    <x:border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right style="thin">
        <x:color rgb="FFE5D9A5"/>
      </x:right>
      <x:bottom style="thin">
        <x:color rgb="FFE5D9A5"/>
      </x:bottom>
    </x:border>
    <x:border>
      <x:left style="thin">
        <x:color rgb="FFE5D9A5"/>
      </x:left>
      <x:right style="thin">
        <x:color rgb="FFE5D9A5"/>
      </x:right>
      <x:bottom style="thin">
        <x:color rgb="FFE5D9A5"/>
      </x:bottom>
    </x:border>
    <x:border>
      <x:left style="thin">
        <x:color rgb="FFE5D9A5"/>
      </x:left>
      <x:bottom style="thin">
        <x:color rgb="FFE5D9A5"/>
      </x:bottom>
    </x:border>
    <x:border>
      <x:right style="thin">
        <x:color rgb="FFE5D9A5"/>
      </x:right>
      <x:top style="thin">
        <x:color rgb="FFE5D9A5"/>
      </x:top>
      <x:bottom style="thin">
        <x:color rgb="FFE5D9A5"/>
      </x:bottom>
    </x:border>
    <x:border>
      <x:left style="thin">
        <x:color rgb="FFE5D9A5"/>
      </x:left>
      <x:right style="thin">
        <x:color rgb="FFE5D9A5"/>
      </x:right>
      <x:top style="thin">
        <x:color rgb="FFE5D9A5"/>
      </x:top>
      <x:bottom style="thin">
        <x:color rgb="FFE5D9A5"/>
      </x:bottom>
    </x:border>
    <x:border>
      <x:left style="thin">
        <x:color rgb="FFE5D9A5"/>
      </x:left>
      <x:top style="thin">
        <x:color rgb="FFE5D9A5"/>
      </x:top>
      <x:bottom style="thin">
        <x:color rgb="FFE5D9A5"/>
      </x:bottom>
    </x:border>
    <x:border>
      <x:right style="thin">
        <x:color rgb="FFE5D9A5"/>
      </x:right>
      <x:top style="thin">
        <x:color rgb="FFE5D9A5"/>
      </x:top>
    </x:border>
    <x:border>
      <x:left style="thin">
        <x:color rgb="FFE5D9A5"/>
      </x:left>
      <x:right style="thin">
        <x:color rgb="FFE5D9A5"/>
      </x:right>
      <x:top style="thin">
        <x:color rgb="FFE5D9A5"/>
      </x:top>
    </x:border>
    <x:border>
      <x:left style="thin">
        <x:color rgb="FFE5D9A5"/>
      </x:left>
      <x:top style="thin">
        <x:color rgb="FFE5D9A5"/>
      </x:top>
    </x:border>
    <x:border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bottom style="thin">
        <x:color rgb="FFE1E6EC"/>
      </x:bottom>
    </x:border>
    <x:border>
      <x:left style="thin">
        <x:color rgb="FFE1E6EC"/>
      </x:left>
      <x:bottom style="thin">
        <x:color rgb="FFE1E6EC"/>
      </x:bottom>
    </x:border>
    <x:border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right style="thin">
        <x:color rgb="FFE1E6EC"/>
      </x:right>
      <x:top style="thin">
        <x:color rgb="FFE1E6EC"/>
      </x:top>
      <x:bottom style="thin">
        <x:color rgb="FFE1E6EC"/>
      </x:bottom>
    </x:border>
    <x:border>
      <x:left style="thin">
        <x:color rgb="FFE1E6EC"/>
      </x:left>
      <x:top style="thin">
        <x:color rgb="FFE1E6EC"/>
      </x:top>
      <x:bottom style="thin">
        <x:color rgb="FFE1E6EC"/>
      </x:bottom>
    </x:border>
    <x:border>
      <x:right style="thin">
        <x:color rgb="FFE1E6EC"/>
      </x:right>
      <x:top style="thin">
        <x:color rgb="FFE1E6EC"/>
      </x:top>
    </x:border>
    <x:border>
      <x:left style="thin">
        <x:color rgb="FFE1E6EC"/>
      </x:left>
      <x:right style="thin">
        <x:color rgb="FFE1E6EC"/>
      </x:right>
      <x:top style="thin">
        <x:color rgb="FFE1E6EC"/>
      </x:top>
    </x:border>
    <x:border>
      <x:left style="thin">
        <x:color rgb="FFE1E6EC"/>
      </x:left>
      <x:top style="thin">
        <x:color rgb="FFE1E6EC"/>
      </x:top>
    </x:border>
  </x:borders>
  <x:cellStyleXfs count="1">
    <x:xf numFmtId="0" fontId="0" fillId="0" borderId="0"/>
  </x:cellStyleXfs>
  <x:cellXfs count="1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201" fontId="3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201" fontId="3" fillId="3" borderId="3" xfId="0" applyNumberFormat="1" applyFont="1" applyFill="1" applyBorder="1" applyAlignment="1">
      <x:alignment vertical="center" wrapText="1"/>
    </x:xf>
    <x:xf numFmtId="201" fontId="3" fillId="3" borderId="6" xfId="0" applyNumberFormat="1" applyFont="1" applyFill="1" applyBorder="1" applyAlignment="1">
      <x:alignment vertical="center" wrapText="1"/>
    </x:xf>
    <x:xf numFmtId="201" fontId="3" fillId="3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 applyAlignment="1">
      <x:alignment vertical="center" wrapText="1"/>
    </x:xf>
    <x:xf numFmtId="0" fontId="3" fillId="3" borderId="19" xfId="0" applyNumberFormat="1" applyFont="1" applyFill="1" applyBorder="1" applyAlignment="1">
      <x:alignment vertical="center" wrapText="1"/>
    </x:xf>
    <x:xf numFmtId="201" fontId="3" fillId="3" borderId="12" xfId="0" applyNumberFormat="1" applyFont="1" applyFill="1" applyBorder="1" applyAlignment="1">
      <x:alignment vertical="center" wrapText="1"/>
    </x:xf>
    <x:xf numFmtId="201" fontId="3" fillId="3" borderId="15" xfId="0" applyNumberFormat="1" applyFont="1" applyFill="1" applyBorder="1" applyAlignment="1">
      <x:alignment vertical="center" wrapText="1"/>
    </x:xf>
    <x:xf numFmtId="201" fontId="3" fillId="3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left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24" xfId="0" applyNumberFormat="1" applyFont="1" applyFill="1" applyBorder="1"/>
    <x:xf numFmtId="0" fontId="3" fillId="4" borderId="25" xfId="0" applyNumberFormat="1" applyFont="1" applyFill="1" applyBorder="1"/>
    <x:xf numFmtId="0" fontId="3" fillId="4" borderId="26" xfId="0" applyNumberFormat="1" applyFont="1" applyFill="1" applyBorder="1"/>
    <x:xf numFmtId="0" fontId="3" fillId="4" borderId="27" xfId="0" applyNumberFormat="1" applyFont="1" applyFill="1" applyBorder="1"/>
    <x:xf numFmtId="0" fontId="3" fillId="4" borderId="28" xfId="0" applyNumberFormat="1" applyFont="1" applyFill="1" applyBorder="1"/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24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wrapText="1"/>
    </x:xf>
    <x:xf numFmtId="0" fontId="3" fillId="4" borderId="26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0" fontId="3" fillId="4" borderId="24" xfId="0" applyNumberFormat="1" applyFont="1" applyFill="1" applyBorder="1" applyAlignment="1">
      <x:alignment vertical="center" wrapText="1"/>
    </x:xf>
    <x:xf numFmtId="0" fontId="3" fillId="4" borderId="25" xfId="0" applyNumberFormat="1" applyFont="1" applyFill="1" applyBorder="1" applyAlignment="1">
      <x:alignment vertical="center" wrapText="1"/>
    </x:xf>
    <x:xf numFmtId="0" fontId="3" fillId="4" borderId="26" xfId="0" applyNumberFormat="1" applyFont="1" applyFill="1" applyBorder="1" applyAlignment="1">
      <x:alignment vertical="center" wrapText="1"/>
    </x:xf>
    <x:xf numFmtId="0" fontId="3" fillId="4" borderId="27" xfId="0" applyNumberFormat="1" applyFont="1" applyFill="1" applyBorder="1" applyAlignment="1">
      <x:alignment vertical="center" wrapText="1"/>
    </x:xf>
    <x:xf numFmtId="0" fontId="3" fillId="4" borderId="28" xfId="0" applyNumberFormat="1" applyFont="1" applyFill="1" applyBorder="1" applyAlignment="1">
      <x:alignment vertical="center" wrapText="1"/>
    </x:xf>
    <x:xf numFmtId="0" fontId="3" fillId="8" borderId="20" xfId="0" applyNumberFormat="1" applyFont="1" applyFill="1" applyBorder="1" applyAlignment="1">
      <x:alignment vertical="center" wrapText="1"/>
    </x:xf>
    <x:xf numFmtId="0" fontId="3" fillId="8" borderId="21" xfId="0" applyNumberFormat="1" applyFont="1" applyFill="1" applyBorder="1" applyAlignment="1">
      <x:alignment vertical="center" wrapText="1"/>
    </x:xf>
    <x:xf numFmtId="0" fontId="3" fillId="8" borderId="23" xfId="0" applyNumberFormat="1" applyFont="1" applyFill="1" applyBorder="1" applyAlignment="1">
      <x:alignment vertical="center" wrapText="1"/>
    </x:xf>
    <x:xf numFmtId="0" fontId="3" fillId="8" borderId="24" xfId="0" applyNumberFormat="1" applyFont="1" applyFill="1" applyBorder="1" applyAlignment="1">
      <x:alignment vertical="center" wrapText="1"/>
    </x:xf>
    <x:xf numFmtId="0" fontId="3" fillId="8" borderId="26" xfId="0" applyNumberFormat="1" applyFont="1" applyFill="1" applyBorder="1" applyAlignment="1">
      <x:alignment vertical="center" wrapText="1"/>
    </x:xf>
    <x:xf numFmtId="0" fontId="3" fillId="8" borderId="27" xfId="0" applyNumberFormat="1" applyFont="1" applyFill="1" applyBorder="1" applyAlignment="1">
      <x:alignment vertical="center" wrapText="1"/>
    </x:xf>
    <x:xf numFmtId="0" fontId="3" fillId="11" borderId="21" xfId="0" applyNumberFormat="1" applyFont="1" applyFill="1" applyBorder="1" applyAlignment="1">
      <x:alignment vertical="center" wrapText="1"/>
    </x:xf>
    <x:xf numFmtId="0" fontId="3" fillId="11" borderId="24" xfId="0" applyNumberFormat="1" applyFont="1" applyFill="1" applyBorder="1" applyAlignment="1">
      <x:alignment vertical="center" wrapText="1"/>
    </x:xf>
    <x:xf numFmtId="0" fontId="3" fillId="11" borderId="27" xfId="0" applyNumberFormat="1" applyFont="1" applyFill="1" applyBorder="1" applyAlignment="1">
      <x:alignment vertical="center" wrapText="1"/>
    </x:xf>
    <x:xf numFmtId="0" fontId="3" fillId="12" borderId="21" xfId="0" applyNumberFormat="1" applyFont="1" applyFill="1" applyBorder="1" applyAlignment="1">
      <x:alignment vertical="center" wrapText="1"/>
    </x:xf>
    <x:xf numFmtId="0" fontId="3" fillId="12" borderId="24" xfId="0" applyNumberFormat="1" applyFont="1" applyFill="1" applyBorder="1" applyAlignment="1">
      <x:alignment vertical="center" wrapText="1"/>
    </x:xf>
    <x:xf numFmtId="0" fontId="3" fillId="12" borderId="27" xfId="0" applyNumberFormat="1" applyFont="1" applyFill="1" applyBorder="1" applyAlignment="1">
      <x:alignment vertical="center" wrapText="1"/>
    </x:xf>
    <x:xf numFmtId="0" fontId="3" fillId="3" borderId="21" xfId="0" applyNumberFormat="1" applyFont="1" applyFill="1" applyBorder="1" applyAlignment="1">
      <x:alignment vertical="center" wrapText="1"/>
    </x:xf>
    <x:xf numFmtId="0" fontId="3" fillId="3" borderId="24" xfId="0" applyNumberFormat="1" applyFont="1" applyFill="1" applyBorder="1" applyAlignment="1">
      <x:alignment vertical="center" wrapText="1"/>
    </x:xf>
    <x:xf numFmtId="0" fontId="3" fillId="3" borderId="27" xfId="0" applyNumberFormat="1" applyFont="1" applyFill="1" applyBorder="1" applyAlignment="1">
      <x:alignment vertical="center" wrapText="1"/>
    </x:xf>
    <x:xf numFmtId="0" fontId="3" fillId="13" borderId="21" xfId="0" applyNumberFormat="1" applyFont="1" applyFill="1" applyBorder="1" applyAlignment="1">
      <x:alignment vertical="center" wrapText="1"/>
    </x:xf>
    <x:xf numFmtId="0" fontId="3" fillId="13" borderId="24" xfId="0" applyNumberFormat="1" applyFont="1" applyFill="1" applyBorder="1" applyAlignment="1">
      <x:alignment vertical="center" wrapText="1"/>
    </x:xf>
    <x:xf numFmtId="0" fontId="3" fillId="13" borderId="27" xfId="0" applyNumberFormat="1" applyFont="1" applyFill="1" applyBorder="1" applyAlignment="1">
      <x:alignment vertical="center" wrapText="1"/>
    </x:xf>
    <x:xf numFmtId="0" fontId="3" fillId="8" borderId="22" xfId="0" applyNumberFormat="1" applyFont="1" applyFill="1" applyBorder="1" applyAlignment="1">
      <x:alignment vertical="center" wrapText="1"/>
    </x:xf>
    <x:xf numFmtId="0" fontId="3" fillId="8" borderId="25" xfId="0" applyNumberFormat="1" applyFont="1" applyFill="1" applyBorder="1" applyAlignment="1">
      <x:alignment vertical="center" wrapText="1"/>
    </x:xf>
    <x:xf numFmtId="0" fontId="3" fillId="8" borderId="28" xfId="0" applyNumberFormat="1" applyFont="1" applyFill="1" applyBorder="1" applyAlignment="1">
      <x:alignment vertical="center" wrapText="1"/>
    </x:xf>
    <x:xf numFmtId="200" fontId="3" fillId="8" borderId="21" xfId="0" applyNumberFormat="1" applyFont="1" applyFill="1" applyBorder="1" applyAlignment="1">
      <x:alignment vertical="center" wrapText="1"/>
    </x:xf>
    <x:xf numFmtId="200" fontId="3" fillId="8" borderId="24" xfId="0" applyNumberFormat="1" applyFont="1" applyFill="1" applyBorder="1" applyAlignment="1">
      <x:alignment vertical="center" wrapText="1"/>
    </x:xf>
    <x:xf numFmtId="200" fontId="3" fillId="8" borderId="27" xfId="0" applyNumberFormat="1" applyFont="1" applyFill="1" applyBorder="1" applyAlignment="1">
      <x:alignment vertical="center" wrapText="1"/>
    </x:xf>
    <x:xf numFmtId="200" fontId="3" fillId="8" borderId="22" xfId="0" applyNumberFormat="1" applyFont="1" applyFill="1" applyBorder="1" applyAlignment="1">
      <x:alignment vertical="center" wrapText="1"/>
    </x:xf>
    <x:xf numFmtId="200" fontId="3" fillId="8" borderId="25" xfId="0" applyNumberFormat="1" applyFont="1" applyFill="1" applyBorder="1" applyAlignment="1">
      <x:alignment vertical="center" wrapText="1"/>
    </x:xf>
    <x:xf numFmtId="200" fontId="3" fillId="8" borderId="28" xfId="0" applyNumberFormat="1" applyFont="1" applyFill="1" applyBorder="1" applyAlignment="1">
      <x:alignment vertical="center" wrapText="1"/>
    </x:xf>
    <x:xf numFmtId="202" fontId="3" fillId="13" borderId="21" xfId="0" applyNumberFormat="1" applyFont="1" applyFill="1" applyBorder="1" applyAlignment="1">
      <x:alignment vertical="center" wrapText="1"/>
    </x:xf>
    <x:xf numFmtId="202" fontId="3" fillId="13" borderId="24" xfId="0" applyNumberFormat="1" applyFont="1" applyFill="1" applyBorder="1" applyAlignment="1">
      <x:alignment vertical="center" wrapText="1"/>
    </x:xf>
    <x:xf numFmtId="202" fontId="3" fillId="13" borderId="27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82aaa36a04e45" /><Relationship Type="http://schemas.openxmlformats.org/officeDocument/2006/relationships/theme" Target="/xl/theme/theme1.xml" Id="R1792d9424a9b4dbb" /><Relationship Type="http://schemas.openxmlformats.org/officeDocument/2006/relationships/sharedStrings" Target="/xl/sharedStrings.xml" Id="Ra712b4de10924a7c" /><Relationship Type="http://schemas.openxmlformats.org/officeDocument/2006/relationships/worksheet" Target="/xl/worksheets/sheet1.xml" Id="Rd23181cec20248de" /><Relationship Type="http://schemas.openxmlformats.org/officeDocument/2006/relationships/worksheet" Target="/xl/worksheets/sheet2.xml" Id="R84f9c385b0044faf" /></Relationships>
</file>

<file path=xl/tables/table1.xml><?xml version="1.0" encoding="utf-8"?>
<x:table xmlns:x="http://schemas.openxmlformats.org/spreadsheetml/2006/main" id="1" name="ExpertReviewTable" displayName="ExpertReviewTable" ref="A9:R29" headerRowCount="1" totalsRowCount="0" totalsRowShown="0">
  <x:autoFilter ref="A9:R29"/>
  <x:tableColumns count="18">
    <x:tableColumn id="1" name="评审ID"/>
    <x:tableColumn id="2" name="专家ID"/>
    <x:tableColumn id="3" name="专家姓名"/>
    <x:tableColumn id="4" name="负责领域"/>
    <x:tableColumn id="5" name="是否主席"/>
    <x:tableColumn id="6" name="主责范围"/>
    <x:tableColumn id="7" name="协审范围"/>
    <x:tableColumn id="8" name="范围确认状态"/>
    <x:tableColumn id="9" name="预审截止时间"/>
    <x:tableColumn id="10" name="预审状态"/>
    <x:tableColumn id="11" name="参会状态"/>
    <x:tableColumn id="12" name="缺席或改派状态"/>
    <x:tableColumn id="13" name="本人完成范围"/>
    <x:tableColumn id="14" name="个人会签结论"/>
    <x:tableColumn id="15" name="评审意见"/>
    <x:tableColumn id="16" name="对应问题编号"/>
    <x:tableColumn id="17" name="会签时间"/>
    <x:tableColumn id="18" name="预审记录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IssueTable" displayName="ReviewIssueTable" ref="A33:Q53" headerRowCount="1" totalsRowCount="0" totalsRowShown="0">
  <x:autoFilter ref="A33:Q53"/>
  <x:tableColumns count="17">
    <x:tableColumn id="1" name="问题编号"/>
    <x:tableColumn id="2" name="评审ID"/>
    <x:tableColumn id="3" name="提出专家ID"/>
    <x:tableColumn id="4" name="专家姓名"/>
    <x:tableColumn id="5" name="所属技术领域"/>
    <x:tableColumn id="6" name="问题描述"/>
    <x:tableColumn id="7" name="判断依据"/>
    <x:tableColumn id="8" name="问题等级"/>
    <x:tableColumn id="9" name="是否需要修正"/>
    <x:tableColumn id="10" name="反馈／修改说明"/>
    <x:tableColumn id="11" name="责任人"/>
    <x:tableColumn id="12" name="计划完成时间"/>
    <x:tableColumn id="13" name="指定复核专家ID"/>
    <x:tableColumn id="14" name="闭环状态"/>
    <x:tableColumn id="15" name="复核结论"/>
    <x:tableColumn id="16" name="复核时间"/>
    <x:tableColumn id="17" name="闭环证据链接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pertScoreTable" displayName="ExpertScoreTable" ref="A5:BI105" headerRowCount="1" totalsRowCount="0" totalsRowShown="0">
  <x:autoFilter ref="A5:BI105"/>
  <x:tableColumns count="61">
    <x:tableColumn id="1" name="评审专家记录ID"/>
    <x:tableColumn id="2" name="评审ID"/>
    <x:tableColumn id="3" name="项目编号"/>
    <x:tableColumn id="4" name="项目名称"/>
    <x:tableColumn id="5" name="TDR节点"/>
    <x:tableColumn id="6" name="会议日期"/>
    <x:tableColumn id="7" name="考核周期"/>
    <x:tableColumn id="8" name="PM"/>
    <x:tableColumn id="9" name="技术项目Owner"/>
    <x:tableColumn id="10" name="专家ID"/>
    <x:tableColumn id="11" name="专家姓名"/>
    <x:tableColumn id="12" name="负责领域"/>
    <x:tableColumn id="13" name="是否主席"/>
    <x:tableColumn id="14" name="主责范围摘要"/>
    <x:tableColumn id="15" name="参会状态"/>
    <x:tableColumn id="16" name="缺席或改派状态"/>
    <x:tableColumn id="17" name="个人会签结论"/>
    <x:tableColumn id="18" name="评审意见摘要"/>
    <x:tableColumn id="19" name="对应问题编号"/>
    <x:tableColumn id="20" name="评审参与与会签正式档位"/>
    <x:tableColumn id="21" name="会前预审正式档位"/>
    <x:tableColumn id="22" name="专业判断准确性AI建议"/>
    <x:tableColumn id="23" name="专业判断准确性正式档位"/>
    <x:tableColumn id="24" name="依据与意见充分性AI建议"/>
    <x:tableColumn id="25" name="依据与意见充分性正式档位"/>
    <x:tableColumn id="26" name="问题闭环正式档位"/>
    <x:tableColumn id="27" name="评审参与与会签证据"/>
    <x:tableColumn id="28" name="预审证据"/>
    <x:tableColumn id="29" name="专业判断证据"/>
    <x:tableColumn id="30" name="依据与意见证据"/>
    <x:tableColumn id="31" name="闭环证据"/>
    <x:tableColumn id="32" name="评审参与与会签分"/>
    <x:tableColumn id="33" name="会前预审分"/>
    <x:tableColumn id="34" name="专业判断准确性分"/>
    <x:tableColumn id="35" name="依据与意见充分性分"/>
    <x:tableColumn id="36" name="问题闭环分"/>
    <x:tableColumn id="37" name="主席范围AI建议"/>
    <x:tableColumn id="38" name="主席范围正式档位"/>
    <x:tableColumn id="39" name="主席结论AI建议"/>
    <x:tableColumn id="40" name="主席结论正式档位"/>
    <x:tableColumn id="41" name="主席范围证据"/>
    <x:tableColumn id="42" name="主席结论证据"/>
    <x:tableColumn id="43" name="主席范围分"/>
    <x:tableColumn id="44" name="主席结论分"/>
    <x:tableColumn id="45" name="主席附加分"/>
    <x:tableColumn id="46" name="主席履职状态"/>
    <x:tableColumn id="47" name="适用项满分"/>
    <x:tableColumn id="48" name="基础原始分"/>
    <x:tableColumn id="49" name="基础折算分"/>
    <x:tableColumn id="50" name="专业两项合计"/>
    <x:tableColumn id="51" name="专业质量状态"/>
    <x:tableColumn id="52" name="缺席后台标记"/>
    <x:tableColumn id="53" name="本场综合分"/>
    <x:tableColumn id="54" name="记录状态"/>
    <x:tableColumn id="55" name="初评分"/>
    <x:tableColumn id="56" name="当前分"/>
    <x:tableColumn id="57" name="修正评分项"/>
    <x:tableColumn id="58" name="修正原因"/>
    <x:tableColumn id="59" name="修正证据链接"/>
    <x:tableColumn id="60" name="修正确认日期"/>
    <x:tableColumn id="61" name="锁定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b67434d75446cb" /><Relationship Type="http://schemas.openxmlformats.org/officeDocument/2006/relationships/table" Target="/xl/tables/table2.xml" Id="R5a5c4c0d32ba42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5be6115ec234b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4" hidden="0" customWidth="1"/>
    <x:col min="16" max="16" width="18" hidden="0" customWidth="1"/>
    <x:col min="17" max="17" width="18" hidden="0" customWidth="1"/>
    <x:col min="18" max="18" width="26" hidden="0" customWidth="1"/>
  </x:cols>
  <x:sheetData>
    <x:row r="1" ht="34" customHeight="1">
      <x:c r="A1" s="115" t="str">
        <x:v>TDT技术项目TDRX评审表（统一模板V0.1）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5"/>
      <x:c r="P1" s="115"/>
      <x:c r="Q1" s="115"/>
      <x:c r="R1" s="115"/>
    </x:row>
    <x:row r="2" ht="26" customHeight="1">
      <x:c r="A2" s="116" t="str">
        <x:v>黄色单元格由PM或技术项目Owner填写；GR、NG必须填写意见并关联问题编号。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6"/>
      <x:c r="N2" s="116"/>
      <x:c r="O2" s="116"/>
      <x:c r="P2" s="116"/>
      <x:c r="Q2" s="116"/>
      <x:c r="R2" s="116"/>
    </x:row>
    <x:row r="3" ht="28" customHeight="1">
      <x:c r="A3" s="15" t="str">
        <x:v>评审ID</x:v>
      </x:c>
      <x:c r="B3" s="16"/>
      <x:c r="C3" s="16"/>
      <x:c r="D3" s="15" t="str">
        <x:v>项目编号</x:v>
      </x:c>
      <x:c r="E3" s="16"/>
      <x:c r="F3" s="16"/>
      <x:c r="G3" s="15" t="str">
        <x:v>项目名称</x:v>
      </x:c>
      <x:c r="H3" s="16"/>
      <x:c r="I3" s="16"/>
      <x:c r="J3" s="16"/>
      <x:c r="K3" s="15" t="str">
        <x:v>TDR节点</x:v>
      </x:c>
      <x:c r="L3" s="16"/>
      <x:c r="M3" s="15" t="str">
        <x:v>会议日期</x:v>
      </x:c>
      <x:c r="N3" s="17"/>
      <x:c r="O3" s="15" t="str">
        <x:v>PM</x:v>
      </x:c>
      <x:c r="P3" s="16"/>
      <x:c r="Q3" s="16"/>
      <x:c r="R3" s="16"/>
    </x:row>
    <x:row r="4" ht="28" customHeight="1">
      <x:c r="A4" s="15" t="str">
        <x:v>技术项目Owner</x:v>
      </x:c>
      <x:c r="B4" s="16"/>
      <x:c r="C4" s="16"/>
      <x:c r="D4" s="16"/>
      <x:c r="E4" s="15" t="str">
        <x:v>评审主席</x:v>
      </x:c>
      <x:c r="F4" s="16"/>
      <x:c r="G4" s="16"/>
      <x:c r="H4" s="16"/>
      <x:c r="I4" s="15" t="str">
        <x:v>会议最终结论</x:v>
      </x:c>
      <x:c r="J4" s="16"/>
      <x:c r="K4" s="16"/>
      <x:c r="L4" s="15" t="str">
        <x:v>结论确认时间</x:v>
      </x:c>
      <x:c r="M4" s="18"/>
      <x:c r="N4" s="18"/>
      <x:c r="O4" s="18"/>
      <x:c r="P4" s="15" t="str">
        <x:v>记录状态</x:v>
      </x:c>
      <x:c r="Q4" s="16"/>
      <x:c r="R4" s="16"/>
    </x:row>
    <x:row r="5" ht="38" customHeight="1">
      <x:c r="A5" s="15" t="str">
        <x:v>最终结论说明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</x:row>
    <x:row r="6" ht="38" customHeight="1">
      <x:c r="A6" s="13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</x:row>
    <x:row r="7">
      <x:c r="A7" s="117"/>
      <x:c r="B7" s="117"/>
      <x:c r="C7" s="117"/>
      <x:c r="D7" s="117"/>
      <x:c r="E7" s="117"/>
      <x:c r="F7" s="117"/>
      <x:c r="G7" s="117"/>
      <x:c r="H7" s="117"/>
      <x:c r="I7" s="117"/>
      <x:c r="J7" s="117"/>
      <x:c r="K7" s="117"/>
      <x:c r="L7" s="117"/>
      <x:c r="M7" s="117"/>
      <x:c r="N7" s="117"/>
      <x:c r="O7" s="117"/>
      <x:c r="P7" s="117"/>
      <x:c r="Q7" s="117"/>
      <x:c r="R7" s="117"/>
    </x:row>
    <x:row r="8" ht="32" customHeight="1">
      <x:c r="A8" s="118" t="str">
        <x:v>评审范围、预审与会签列表</x:v>
      </x:c>
      <x:c r="B8" s="118" t="str">
        <x:v>评审范围、预审与会签列表</x:v>
      </x:c>
      <x:c r="C8" s="118" t="str">
        <x:v>评审范围、预审与会签列表</x:v>
      </x:c>
      <x:c r="D8" s="118" t="str">
        <x:v>评审范围、预审与会签列表</x:v>
      </x:c>
      <x:c r="E8" s="118" t="str">
        <x:v>评审范围、预审与会签列表</x:v>
      </x:c>
      <x:c r="F8" s="118" t="str">
        <x:v>评审范围、预审与会签列表</x:v>
      </x:c>
      <x:c r="G8" s="118" t="str">
        <x:v>评审范围、预审与会签列表</x:v>
      </x:c>
      <x:c r="H8" s="118" t="str">
        <x:v>评审范围、预审与会签列表</x:v>
      </x:c>
      <x:c r="I8" s="118" t="str">
        <x:v>评审范围、预审与会签列表</x:v>
      </x:c>
      <x:c r="J8" s="118" t="str">
        <x:v>评审范围、预审与会签列表</x:v>
      </x:c>
      <x:c r="K8" s="118" t="str">
        <x:v>评审范围、预审与会签列表</x:v>
      </x:c>
      <x:c r="L8" s="118" t="str">
        <x:v>评审范围、预审与会签列表</x:v>
      </x:c>
      <x:c r="M8" s="118" t="str">
        <x:v>评审范围、预审与会签列表</x:v>
      </x:c>
      <x:c r="N8" s="118" t="str">
        <x:v>评审范围、预审与会签列表</x:v>
      </x:c>
      <x:c r="O8" s="118" t="str">
        <x:v>评审范围、预审与会签列表</x:v>
      </x:c>
      <x:c r="P8" s="118" t="str">
        <x:v>评审范围、预审与会签列表</x:v>
      </x:c>
      <x:c r="Q8" s="118" t="str">
        <x:v>评审范围、预审与会签列表</x:v>
      </x:c>
      <x:c r="R8" s="118" t="str">
        <x:v>评审范围、预审与会签列表</x:v>
      </x:c>
    </x:row>
    <x:row r="9" ht="32" customHeight="1">
      <x:c r="A9" s="27" t="str">
        <x:v>评审ID</x:v>
      </x:c>
      <x:c r="B9" s="27" t="str">
        <x:v>专家ID</x:v>
      </x:c>
      <x:c r="C9" s="27" t="str">
        <x:v>专家姓名</x:v>
      </x:c>
      <x:c r="D9" s="27" t="str">
        <x:v>负责领域</x:v>
      </x:c>
      <x:c r="E9" s="27" t="str">
        <x:v>是否主席</x:v>
      </x:c>
      <x:c r="F9" s="27" t="str">
        <x:v>主责范围</x:v>
      </x:c>
      <x:c r="G9" s="27" t="str">
        <x:v>协审范围</x:v>
      </x:c>
      <x:c r="H9" s="27" t="str">
        <x:v>范围确认状态</x:v>
      </x:c>
      <x:c r="I9" s="27" t="str">
        <x:v>预审截止时间</x:v>
      </x:c>
      <x:c r="J9" s="27" t="str">
        <x:v>预审状态</x:v>
      </x:c>
      <x:c r="K9" s="27" t="str">
        <x:v>参会状态</x:v>
      </x:c>
      <x:c r="L9" s="27" t="str">
        <x:v>缺席或改派状态</x:v>
      </x:c>
      <x:c r="M9" s="27" t="str">
        <x:v>本人完成范围</x:v>
      </x:c>
      <x:c r="N9" s="27" t="str">
        <x:v>个人会签结论</x:v>
      </x:c>
      <x:c r="O9" s="27" t="str">
        <x:v>评审意见</x:v>
      </x:c>
      <x:c r="P9" s="27" t="str">
        <x:v>对应问题编号</x:v>
      </x:c>
      <x:c r="Q9" s="27" t="str">
        <x:v>会签时间</x:v>
      </x:c>
      <x:c r="R9" s="27" t="str">
        <x:v>预审记录链接</x:v>
      </x:c>
    </x:row>
    <x:row r="10" ht="34" customHeight="1">
      <x:c r="A10" s="57"/>
      <x:c r="B10" s="58"/>
      <x:c r="C10" s="58"/>
      <x:c r="D10" s="58"/>
      <x:c r="E10" s="58"/>
      <x:c r="F10" s="58"/>
      <x:c r="G10" s="58"/>
      <x:c r="H10" s="58"/>
      <x:c r="I10" s="66"/>
      <x:c r="J10" s="58"/>
      <x:c r="K10" s="58"/>
      <x:c r="L10" s="58"/>
      <x:c r="M10" s="58"/>
      <x:c r="N10" s="58"/>
      <x:c r="O10" s="58"/>
      <x:c r="P10" s="58"/>
      <x:c r="Q10" s="66"/>
      <x:c r="R10" s="59"/>
    </x:row>
    <x:row r="11" ht="34" customHeight="1">
      <x:c r="A11" s="60"/>
      <x:c r="B11" s="61"/>
      <x:c r="C11" s="61"/>
      <x:c r="D11" s="61"/>
      <x:c r="E11" s="61"/>
      <x:c r="F11" s="61"/>
      <x:c r="G11" s="61"/>
      <x:c r="H11" s="61"/>
      <x:c r="I11" s="67"/>
      <x:c r="J11" s="61"/>
      <x:c r="K11" s="61"/>
      <x:c r="L11" s="61"/>
      <x:c r="M11" s="61"/>
      <x:c r="N11" s="61"/>
      <x:c r="O11" s="61"/>
      <x:c r="P11" s="61"/>
      <x:c r="Q11" s="67"/>
      <x:c r="R11" s="62"/>
    </x:row>
    <x:row r="12" ht="34" customHeight="1">
      <x:c r="A12" s="60"/>
      <x:c r="B12" s="61"/>
      <x:c r="C12" s="61"/>
      <x:c r="D12" s="61"/>
      <x:c r="E12" s="61"/>
      <x:c r="F12" s="61"/>
      <x:c r="G12" s="61"/>
      <x:c r="H12" s="61"/>
      <x:c r="I12" s="67"/>
      <x:c r="J12" s="61"/>
      <x:c r="K12" s="61"/>
      <x:c r="L12" s="61"/>
      <x:c r="M12" s="61"/>
      <x:c r="N12" s="61"/>
      <x:c r="O12" s="61"/>
      <x:c r="P12" s="61"/>
      <x:c r="Q12" s="67"/>
      <x:c r="R12" s="62"/>
    </x:row>
    <x:row r="13" ht="34" customHeight="1">
      <x:c r="A13" s="60"/>
      <x:c r="B13" s="61"/>
      <x:c r="C13" s="61"/>
      <x:c r="D13" s="61"/>
      <x:c r="E13" s="61"/>
      <x:c r="F13" s="61"/>
      <x:c r="G13" s="61"/>
      <x:c r="H13" s="61"/>
      <x:c r="I13" s="67"/>
      <x:c r="J13" s="61"/>
      <x:c r="K13" s="61"/>
      <x:c r="L13" s="61"/>
      <x:c r="M13" s="61"/>
      <x:c r="N13" s="61"/>
      <x:c r="O13" s="61"/>
      <x:c r="P13" s="61"/>
      <x:c r="Q13" s="67"/>
      <x:c r="R13" s="62"/>
    </x:row>
    <x:row r="14" ht="34" customHeight="1">
      <x:c r="A14" s="60"/>
      <x:c r="B14" s="61"/>
      <x:c r="C14" s="61"/>
      <x:c r="D14" s="61"/>
      <x:c r="E14" s="61"/>
      <x:c r="F14" s="61"/>
      <x:c r="G14" s="61"/>
      <x:c r="H14" s="61"/>
      <x:c r="I14" s="67"/>
      <x:c r="J14" s="61"/>
      <x:c r="K14" s="61"/>
      <x:c r="L14" s="61"/>
      <x:c r="M14" s="61"/>
      <x:c r="N14" s="61"/>
      <x:c r="O14" s="61"/>
      <x:c r="P14" s="61"/>
      <x:c r="Q14" s="67"/>
      <x:c r="R14" s="62"/>
    </x:row>
    <x:row r="15" ht="34" customHeight="1">
      <x:c r="A15" s="60"/>
      <x:c r="B15" s="61"/>
      <x:c r="C15" s="61"/>
      <x:c r="D15" s="61"/>
      <x:c r="E15" s="61"/>
      <x:c r="F15" s="61"/>
      <x:c r="G15" s="61"/>
      <x:c r="H15" s="61"/>
      <x:c r="I15" s="67"/>
      <x:c r="J15" s="61"/>
      <x:c r="K15" s="61"/>
      <x:c r="L15" s="61"/>
      <x:c r="M15" s="61"/>
      <x:c r="N15" s="61"/>
      <x:c r="O15" s="61"/>
      <x:c r="P15" s="61"/>
      <x:c r="Q15" s="67"/>
      <x:c r="R15" s="62"/>
    </x:row>
    <x:row r="16" ht="34" customHeight="1">
      <x:c r="A16" s="60"/>
      <x:c r="B16" s="61"/>
      <x:c r="C16" s="61"/>
      <x:c r="D16" s="61"/>
      <x:c r="E16" s="61"/>
      <x:c r="F16" s="61"/>
      <x:c r="G16" s="61"/>
      <x:c r="H16" s="61"/>
      <x:c r="I16" s="67"/>
      <x:c r="J16" s="61"/>
      <x:c r="K16" s="61"/>
      <x:c r="L16" s="61"/>
      <x:c r="M16" s="61"/>
      <x:c r="N16" s="61"/>
      <x:c r="O16" s="61"/>
      <x:c r="P16" s="61"/>
      <x:c r="Q16" s="67"/>
      <x:c r="R16" s="62"/>
    </x:row>
    <x:row r="17" ht="34" customHeight="1">
      <x:c r="A17" s="60"/>
      <x:c r="B17" s="61"/>
      <x:c r="C17" s="61"/>
      <x:c r="D17" s="61"/>
      <x:c r="E17" s="61"/>
      <x:c r="F17" s="61"/>
      <x:c r="G17" s="61"/>
      <x:c r="H17" s="61"/>
      <x:c r="I17" s="67"/>
      <x:c r="J17" s="61"/>
      <x:c r="K17" s="61"/>
      <x:c r="L17" s="61"/>
      <x:c r="M17" s="61"/>
      <x:c r="N17" s="61"/>
      <x:c r="O17" s="61"/>
      <x:c r="P17" s="61"/>
      <x:c r="Q17" s="67"/>
      <x:c r="R17" s="62"/>
    </x:row>
    <x:row r="18" ht="34" customHeight="1">
      <x:c r="A18" s="60"/>
      <x:c r="B18" s="61"/>
      <x:c r="C18" s="61"/>
      <x:c r="D18" s="61"/>
      <x:c r="E18" s="61"/>
      <x:c r="F18" s="61"/>
      <x:c r="G18" s="61"/>
      <x:c r="H18" s="61"/>
      <x:c r="I18" s="67"/>
      <x:c r="J18" s="61"/>
      <x:c r="K18" s="61"/>
      <x:c r="L18" s="61"/>
      <x:c r="M18" s="61"/>
      <x:c r="N18" s="61"/>
      <x:c r="O18" s="61"/>
      <x:c r="P18" s="61"/>
      <x:c r="Q18" s="67"/>
      <x:c r="R18" s="62"/>
    </x:row>
    <x:row r="19" ht="34" customHeight="1">
      <x:c r="A19" s="60"/>
      <x:c r="B19" s="61"/>
      <x:c r="C19" s="61"/>
      <x:c r="D19" s="61"/>
      <x:c r="E19" s="61"/>
      <x:c r="F19" s="61"/>
      <x:c r="G19" s="61"/>
      <x:c r="H19" s="61"/>
      <x:c r="I19" s="67"/>
      <x:c r="J19" s="61"/>
      <x:c r="K19" s="61"/>
      <x:c r="L19" s="61"/>
      <x:c r="M19" s="61"/>
      <x:c r="N19" s="61"/>
      <x:c r="O19" s="61"/>
      <x:c r="P19" s="61"/>
      <x:c r="Q19" s="67"/>
      <x:c r="R19" s="62"/>
    </x:row>
    <x:row r="20" ht="34" customHeight="1">
      <x:c r="A20" s="60"/>
      <x:c r="B20" s="61"/>
      <x:c r="C20" s="61"/>
      <x:c r="D20" s="61"/>
      <x:c r="E20" s="61"/>
      <x:c r="F20" s="61"/>
      <x:c r="G20" s="61"/>
      <x:c r="H20" s="61"/>
      <x:c r="I20" s="67"/>
      <x:c r="J20" s="61"/>
      <x:c r="K20" s="61"/>
      <x:c r="L20" s="61"/>
      <x:c r="M20" s="61"/>
      <x:c r="N20" s="61"/>
      <x:c r="O20" s="61"/>
      <x:c r="P20" s="61"/>
      <x:c r="Q20" s="67"/>
      <x:c r="R20" s="62"/>
    </x:row>
    <x:row r="21" ht="34" customHeight="1">
      <x:c r="A21" s="60"/>
      <x:c r="B21" s="61"/>
      <x:c r="C21" s="61"/>
      <x:c r="D21" s="61"/>
      <x:c r="E21" s="61"/>
      <x:c r="F21" s="61"/>
      <x:c r="G21" s="61"/>
      <x:c r="H21" s="61"/>
      <x:c r="I21" s="67"/>
      <x:c r="J21" s="61"/>
      <x:c r="K21" s="61"/>
      <x:c r="L21" s="61"/>
      <x:c r="M21" s="61"/>
      <x:c r="N21" s="61"/>
      <x:c r="O21" s="61"/>
      <x:c r="P21" s="61"/>
      <x:c r="Q21" s="67"/>
      <x:c r="R21" s="62"/>
    </x:row>
    <x:row r="22" ht="34" customHeight="1">
      <x:c r="A22" s="60"/>
      <x:c r="B22" s="61"/>
      <x:c r="C22" s="61"/>
      <x:c r="D22" s="61"/>
      <x:c r="E22" s="61"/>
      <x:c r="F22" s="61"/>
      <x:c r="G22" s="61"/>
      <x:c r="H22" s="61"/>
      <x:c r="I22" s="67"/>
      <x:c r="J22" s="61"/>
      <x:c r="K22" s="61"/>
      <x:c r="L22" s="61"/>
      <x:c r="M22" s="61"/>
      <x:c r="N22" s="61"/>
      <x:c r="O22" s="61"/>
      <x:c r="P22" s="61"/>
      <x:c r="Q22" s="67"/>
      <x:c r="R22" s="62"/>
    </x:row>
    <x:row r="23" ht="34" customHeight="1">
      <x:c r="A23" s="60"/>
      <x:c r="B23" s="61"/>
      <x:c r="C23" s="61"/>
      <x:c r="D23" s="61"/>
      <x:c r="E23" s="61"/>
      <x:c r="F23" s="61"/>
      <x:c r="G23" s="61"/>
      <x:c r="H23" s="61"/>
      <x:c r="I23" s="67"/>
      <x:c r="J23" s="61"/>
      <x:c r="K23" s="61"/>
      <x:c r="L23" s="61"/>
      <x:c r="M23" s="61"/>
      <x:c r="N23" s="61"/>
      <x:c r="O23" s="61"/>
      <x:c r="P23" s="61"/>
      <x:c r="Q23" s="67"/>
      <x:c r="R23" s="62"/>
    </x:row>
    <x:row r="24" ht="34" customHeight="1">
      <x:c r="A24" s="60"/>
      <x:c r="B24" s="61"/>
      <x:c r="C24" s="61"/>
      <x:c r="D24" s="61"/>
      <x:c r="E24" s="61"/>
      <x:c r="F24" s="61"/>
      <x:c r="G24" s="61"/>
      <x:c r="H24" s="61"/>
      <x:c r="I24" s="67"/>
      <x:c r="J24" s="61"/>
      <x:c r="K24" s="61"/>
      <x:c r="L24" s="61"/>
      <x:c r="M24" s="61"/>
      <x:c r="N24" s="61"/>
      <x:c r="O24" s="61"/>
      <x:c r="P24" s="61"/>
      <x:c r="Q24" s="67"/>
      <x:c r="R24" s="62"/>
    </x:row>
    <x:row r="25" ht="34" customHeight="1">
      <x:c r="A25" s="60"/>
      <x:c r="B25" s="61"/>
      <x:c r="C25" s="61"/>
      <x:c r="D25" s="61"/>
      <x:c r="E25" s="61"/>
      <x:c r="F25" s="61"/>
      <x:c r="G25" s="61"/>
      <x:c r="H25" s="61"/>
      <x:c r="I25" s="67"/>
      <x:c r="J25" s="61"/>
      <x:c r="K25" s="61"/>
      <x:c r="L25" s="61"/>
      <x:c r="M25" s="61"/>
      <x:c r="N25" s="61"/>
      <x:c r="O25" s="61"/>
      <x:c r="P25" s="61"/>
      <x:c r="Q25" s="67"/>
      <x:c r="R25" s="62"/>
    </x:row>
    <x:row r="26" ht="34" customHeight="1">
      <x:c r="A26" s="60"/>
      <x:c r="B26" s="61"/>
      <x:c r="C26" s="61"/>
      <x:c r="D26" s="61"/>
      <x:c r="E26" s="61"/>
      <x:c r="F26" s="61"/>
      <x:c r="G26" s="61"/>
      <x:c r="H26" s="61"/>
      <x:c r="I26" s="67"/>
      <x:c r="J26" s="61"/>
      <x:c r="K26" s="61"/>
      <x:c r="L26" s="61"/>
      <x:c r="M26" s="61"/>
      <x:c r="N26" s="61"/>
      <x:c r="O26" s="61"/>
      <x:c r="P26" s="61"/>
      <x:c r="Q26" s="67"/>
      <x:c r="R26" s="62"/>
    </x:row>
    <x:row r="27" ht="34" customHeight="1">
      <x:c r="A27" s="60"/>
      <x:c r="B27" s="61"/>
      <x:c r="C27" s="61"/>
      <x:c r="D27" s="61"/>
      <x:c r="E27" s="61"/>
      <x:c r="F27" s="61"/>
      <x:c r="G27" s="61"/>
      <x:c r="H27" s="61"/>
      <x:c r="I27" s="67"/>
      <x:c r="J27" s="61"/>
      <x:c r="K27" s="61"/>
      <x:c r="L27" s="61"/>
      <x:c r="M27" s="61"/>
      <x:c r="N27" s="61"/>
      <x:c r="O27" s="61"/>
      <x:c r="P27" s="61"/>
      <x:c r="Q27" s="67"/>
      <x:c r="R27" s="62"/>
    </x:row>
    <x:row r="28" ht="34" customHeight="1">
      <x:c r="A28" s="60"/>
      <x:c r="B28" s="61"/>
      <x:c r="C28" s="61"/>
      <x:c r="D28" s="61"/>
      <x:c r="E28" s="61"/>
      <x:c r="F28" s="61"/>
      <x:c r="G28" s="61"/>
      <x:c r="H28" s="61"/>
      <x:c r="I28" s="67"/>
      <x:c r="J28" s="61"/>
      <x:c r="K28" s="61"/>
      <x:c r="L28" s="61"/>
      <x:c r="M28" s="61"/>
      <x:c r="N28" s="61"/>
      <x:c r="O28" s="61"/>
      <x:c r="P28" s="61"/>
      <x:c r="Q28" s="67"/>
      <x:c r="R28" s="62"/>
    </x:row>
    <x:row r="29" ht="34" customHeight="1">
      <x:c r="A29" s="63"/>
      <x:c r="B29" s="64"/>
      <x:c r="C29" s="64"/>
      <x:c r="D29" s="64"/>
      <x:c r="E29" s="64"/>
      <x:c r="F29" s="64"/>
      <x:c r="G29" s="64"/>
      <x:c r="H29" s="64"/>
      <x:c r="I29" s="68"/>
      <x:c r="J29" s="64"/>
      <x:c r="K29" s="64"/>
      <x:c r="L29" s="64"/>
      <x:c r="M29" s="64"/>
      <x:c r="N29" s="64"/>
      <x:c r="O29" s="64"/>
      <x:c r="P29" s="64"/>
      <x:c r="Q29" s="68"/>
      <x:c r="R29" s="65"/>
    </x:row>
    <x:row r="30">
      <x:c r="A30" s="117"/>
      <x:c r="B30" s="117"/>
      <x:c r="C30" s="117"/>
      <x:c r="D30" s="117"/>
      <x:c r="E30" s="117"/>
      <x:c r="F30" s="117"/>
      <x:c r="G30" s="117"/>
      <x:c r="H30" s="117"/>
      <x:c r="I30" s="117"/>
      <x:c r="J30" s="117"/>
      <x:c r="K30" s="117"/>
      <x:c r="L30" s="117"/>
      <x:c r="M30" s="117"/>
      <x:c r="N30" s="117"/>
      <x:c r="O30" s="117"/>
      <x:c r="P30" s="117"/>
      <x:c r="Q30" s="117"/>
      <x:c r="R30" s="117"/>
    </x:row>
    <x:row r="31">
      <x:c r="A31" s="117"/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  <x:c r="L31" s="117"/>
      <x:c r="M31" s="117"/>
      <x:c r="N31" s="117"/>
      <x:c r="O31" s="117"/>
      <x:c r="P31" s="117"/>
      <x:c r="Q31" s="117"/>
      <x:c r="R31" s="117"/>
    </x:row>
    <x:row r="32" ht="32" customHeight="1">
      <x:c r="A32" s="118" t="str">
        <x:v>评审问题汇总表</x:v>
      </x:c>
      <x:c r="B32" s="118" t="str">
        <x:v>评审问题汇总表</x:v>
      </x:c>
      <x:c r="C32" s="118" t="str">
        <x:v>评审问题汇总表</x:v>
      </x:c>
      <x:c r="D32" s="118" t="str">
        <x:v>评审问题汇总表</x:v>
      </x:c>
      <x:c r="E32" s="118" t="str">
        <x:v>评审问题汇总表</x:v>
      </x:c>
      <x:c r="F32" s="118" t="str">
        <x:v>评审问题汇总表</x:v>
      </x:c>
      <x:c r="G32" s="118" t="str">
        <x:v>评审问题汇总表</x:v>
      </x:c>
      <x:c r="H32" s="118" t="str">
        <x:v>评审问题汇总表</x:v>
      </x:c>
      <x:c r="I32" s="118" t="str">
        <x:v>评审问题汇总表</x:v>
      </x:c>
      <x:c r="J32" s="118" t="str">
        <x:v>评审问题汇总表</x:v>
      </x:c>
      <x:c r="K32" s="118" t="str">
        <x:v>评审问题汇总表</x:v>
      </x:c>
      <x:c r="L32" s="118" t="str">
        <x:v>评审问题汇总表</x:v>
      </x:c>
      <x:c r="M32" s="118" t="str">
        <x:v>评审问题汇总表</x:v>
      </x:c>
      <x:c r="N32" s="118" t="str">
        <x:v>评审问题汇总表</x:v>
      </x:c>
      <x:c r="O32" s="118" t="str">
        <x:v>评审问题汇总表</x:v>
      </x:c>
      <x:c r="P32" s="118" t="str">
        <x:v>评审问题汇总表</x:v>
      </x:c>
      <x:c r="Q32" s="118" t="str">
        <x:v>评审问题汇总表</x:v>
      </x:c>
      <x:c r="R32" s="117"/>
    </x:row>
    <x:row r="33" ht="32" customHeight="1">
      <x:c r="A33" s="74" t="str">
        <x:v>问题编号</x:v>
      </x:c>
      <x:c r="B33" s="74" t="str">
        <x:v>评审ID</x:v>
      </x:c>
      <x:c r="C33" s="74" t="str">
        <x:v>提出专家ID</x:v>
      </x:c>
      <x:c r="D33" s="74" t="str">
        <x:v>专家姓名</x:v>
      </x:c>
      <x:c r="E33" s="74" t="str">
        <x:v>所属技术领域</x:v>
      </x:c>
      <x:c r="F33" s="74" t="str">
        <x:v>问题描述</x:v>
      </x:c>
      <x:c r="G33" s="74" t="str">
        <x:v>判断依据</x:v>
      </x:c>
      <x:c r="H33" s="74" t="str">
        <x:v>问题等级</x:v>
      </x:c>
      <x:c r="I33" s="74" t="str">
        <x:v>是否需要修正</x:v>
      </x:c>
      <x:c r="J33" s="74" t="str">
        <x:v>反馈／修改说明</x:v>
      </x:c>
      <x:c r="K33" s="74" t="str">
        <x:v>责任人</x:v>
      </x:c>
      <x:c r="L33" s="74" t="str">
        <x:v>计划完成时间</x:v>
      </x:c>
      <x:c r="M33" s="74" t="str">
        <x:v>指定复核专家ID</x:v>
      </x:c>
      <x:c r="N33" s="74" t="str">
        <x:v>闭环状态</x:v>
      </x:c>
      <x:c r="O33" s="74" t="str">
        <x:v>复核结论</x:v>
      </x:c>
      <x:c r="P33" s="74" t="str">
        <x:v>复核时间</x:v>
      </x:c>
      <x:c r="Q33" s="74" t="str">
        <x:v>闭环证据链接</x:v>
      </x:c>
      <x:c r="R33" s="117"/>
    </x:row>
    <x:row r="34" ht="38" customHeight="1">
      <x:c r="A34" s="102"/>
      <x:c r="B34" s="103"/>
      <x:c r="C34" s="103"/>
      <x:c r="D34" s="103"/>
      <x:c r="E34" s="103"/>
      <x:c r="F34" s="103"/>
      <x:c r="G34" s="103"/>
      <x:c r="H34" s="103"/>
      <x:c r="I34" s="103"/>
      <x:c r="J34" s="103"/>
      <x:c r="K34" s="103"/>
      <x:c r="L34" s="111"/>
      <x:c r="M34" s="103"/>
      <x:c r="N34" s="103"/>
      <x:c r="O34" s="103"/>
      <x:c r="P34" s="111"/>
      <x:c r="Q34" s="104"/>
      <x:c r="R34" s="117"/>
    </x:row>
    <x:row r="35" ht="38" customHeight="1">
      <x:c r="A35" s="105"/>
      <x:c r="B35" s="106"/>
      <x:c r="C35" s="106"/>
      <x:c r="D35" s="106"/>
      <x:c r="E35" s="106"/>
      <x:c r="F35" s="106"/>
      <x:c r="G35" s="106"/>
      <x:c r="H35" s="106"/>
      <x:c r="I35" s="106"/>
      <x:c r="J35" s="106"/>
      <x:c r="K35" s="106"/>
      <x:c r="L35" s="112"/>
      <x:c r="M35" s="106"/>
      <x:c r="N35" s="106"/>
      <x:c r="O35" s="106"/>
      <x:c r="P35" s="112"/>
      <x:c r="Q35" s="107"/>
      <x:c r="R35" s="117"/>
    </x:row>
    <x:row r="36" ht="38" customHeight="1">
      <x:c r="A36" s="105"/>
      <x:c r="B36" s="106"/>
      <x:c r="C36" s="106"/>
      <x:c r="D36" s="106"/>
      <x:c r="E36" s="106"/>
      <x:c r="F36" s="106"/>
      <x:c r="G36" s="106"/>
      <x:c r="H36" s="106"/>
      <x:c r="I36" s="106"/>
      <x:c r="J36" s="106"/>
      <x:c r="K36" s="106"/>
      <x:c r="L36" s="112"/>
      <x:c r="M36" s="106"/>
      <x:c r="N36" s="106"/>
      <x:c r="O36" s="106"/>
      <x:c r="P36" s="112"/>
      <x:c r="Q36" s="107"/>
      <x:c r="R36" s="117"/>
    </x:row>
    <x:row r="37" ht="38" customHeight="1">
      <x:c r="A37" s="105"/>
      <x:c r="B37" s="106"/>
      <x:c r="C37" s="106"/>
      <x:c r="D37" s="106"/>
      <x:c r="E37" s="106"/>
      <x:c r="F37" s="106"/>
      <x:c r="G37" s="106"/>
      <x:c r="H37" s="106"/>
      <x:c r="I37" s="106"/>
      <x:c r="J37" s="106"/>
      <x:c r="K37" s="106"/>
      <x:c r="L37" s="112"/>
      <x:c r="M37" s="106"/>
      <x:c r="N37" s="106"/>
      <x:c r="O37" s="106"/>
      <x:c r="P37" s="112"/>
      <x:c r="Q37" s="107"/>
      <x:c r="R37" s="117"/>
    </x:row>
    <x:row r="38" ht="38" customHeight="1">
      <x:c r="A38" s="105"/>
      <x:c r="B38" s="106"/>
      <x:c r="C38" s="106"/>
      <x:c r="D38" s="106"/>
      <x:c r="E38" s="106"/>
      <x:c r="F38" s="106"/>
      <x:c r="G38" s="106"/>
      <x:c r="H38" s="106"/>
      <x:c r="I38" s="106"/>
      <x:c r="J38" s="106"/>
      <x:c r="K38" s="106"/>
      <x:c r="L38" s="112"/>
      <x:c r="M38" s="106"/>
      <x:c r="N38" s="106"/>
      <x:c r="O38" s="106"/>
      <x:c r="P38" s="112"/>
      <x:c r="Q38" s="107"/>
      <x:c r="R38" s="117"/>
    </x:row>
    <x:row r="39" ht="38" customHeight="1">
      <x:c r="A39" s="105"/>
      <x:c r="B39" s="106"/>
      <x:c r="C39" s="106"/>
      <x:c r="D39" s="106"/>
      <x:c r="E39" s="106"/>
      <x:c r="F39" s="106"/>
      <x:c r="G39" s="106"/>
      <x:c r="H39" s="106"/>
      <x:c r="I39" s="106"/>
      <x:c r="J39" s="106"/>
      <x:c r="K39" s="106"/>
      <x:c r="L39" s="112"/>
      <x:c r="M39" s="106"/>
      <x:c r="N39" s="106"/>
      <x:c r="O39" s="106"/>
      <x:c r="P39" s="112"/>
      <x:c r="Q39" s="107"/>
      <x:c r="R39" s="117"/>
    </x:row>
    <x:row r="40" ht="38" customHeight="1">
      <x:c r="A40" s="105"/>
      <x:c r="B40" s="106"/>
      <x:c r="C40" s="106"/>
      <x:c r="D40" s="106"/>
      <x:c r="E40" s="106"/>
      <x:c r="F40" s="106"/>
      <x:c r="G40" s="106"/>
      <x:c r="H40" s="106"/>
      <x:c r="I40" s="106"/>
      <x:c r="J40" s="106"/>
      <x:c r="K40" s="106"/>
      <x:c r="L40" s="112"/>
      <x:c r="M40" s="106"/>
      <x:c r="N40" s="106"/>
      <x:c r="O40" s="106"/>
      <x:c r="P40" s="112"/>
      <x:c r="Q40" s="107"/>
      <x:c r="R40" s="117"/>
    </x:row>
    <x:row r="41" ht="38" customHeight="1">
      <x:c r="A41" s="105"/>
      <x:c r="B41" s="106"/>
      <x:c r="C41" s="106"/>
      <x:c r="D41" s="106"/>
      <x:c r="E41" s="106"/>
      <x:c r="F41" s="106"/>
      <x:c r="G41" s="106"/>
      <x:c r="H41" s="106"/>
      <x:c r="I41" s="106"/>
      <x:c r="J41" s="106"/>
      <x:c r="K41" s="106"/>
      <x:c r="L41" s="112"/>
      <x:c r="M41" s="106"/>
      <x:c r="N41" s="106"/>
      <x:c r="O41" s="106"/>
      <x:c r="P41" s="112"/>
      <x:c r="Q41" s="107"/>
      <x:c r="R41" s="117"/>
    </x:row>
    <x:row r="42" ht="38" customHeight="1">
      <x:c r="A42" s="105"/>
      <x:c r="B42" s="106"/>
      <x:c r="C42" s="106"/>
      <x:c r="D42" s="106"/>
      <x:c r="E42" s="106"/>
      <x:c r="F42" s="106"/>
      <x:c r="G42" s="106"/>
      <x:c r="H42" s="106"/>
      <x:c r="I42" s="106"/>
      <x:c r="J42" s="106"/>
      <x:c r="K42" s="106"/>
      <x:c r="L42" s="112"/>
      <x:c r="M42" s="106"/>
      <x:c r="N42" s="106"/>
      <x:c r="O42" s="106"/>
      <x:c r="P42" s="112"/>
      <x:c r="Q42" s="107"/>
      <x:c r="R42" s="117"/>
    </x:row>
    <x:row r="43" ht="38" customHeight="1">
      <x:c r="A43" s="105"/>
      <x:c r="B43" s="106"/>
      <x:c r="C43" s="106"/>
      <x:c r="D43" s="106"/>
      <x:c r="E43" s="106"/>
      <x:c r="F43" s="106"/>
      <x:c r="G43" s="106"/>
      <x:c r="H43" s="106"/>
      <x:c r="I43" s="106"/>
      <x:c r="J43" s="106"/>
      <x:c r="K43" s="106"/>
      <x:c r="L43" s="112"/>
      <x:c r="M43" s="106"/>
      <x:c r="N43" s="106"/>
      <x:c r="O43" s="106"/>
      <x:c r="P43" s="112"/>
      <x:c r="Q43" s="107"/>
      <x:c r="R43" s="117"/>
    </x:row>
    <x:row r="44" ht="38" customHeight="1">
      <x:c r="A44" s="105"/>
      <x:c r="B44" s="106"/>
      <x:c r="C44" s="106"/>
      <x:c r="D44" s="106"/>
      <x:c r="E44" s="106"/>
      <x:c r="F44" s="106"/>
      <x:c r="G44" s="106"/>
      <x:c r="H44" s="106"/>
      <x:c r="I44" s="106"/>
      <x:c r="J44" s="106"/>
      <x:c r="K44" s="106"/>
      <x:c r="L44" s="112"/>
      <x:c r="M44" s="106"/>
      <x:c r="N44" s="106"/>
      <x:c r="O44" s="106"/>
      <x:c r="P44" s="112"/>
      <x:c r="Q44" s="107"/>
      <x:c r="R44" s="117"/>
    </x:row>
    <x:row r="45" ht="38" customHeight="1">
      <x:c r="A45" s="105"/>
      <x:c r="B45" s="106"/>
      <x:c r="C45" s="106"/>
      <x:c r="D45" s="106"/>
      <x:c r="E45" s="106"/>
      <x:c r="F45" s="106"/>
      <x:c r="G45" s="106"/>
      <x:c r="H45" s="106"/>
      <x:c r="I45" s="106"/>
      <x:c r="J45" s="106"/>
      <x:c r="K45" s="106"/>
      <x:c r="L45" s="112"/>
      <x:c r="M45" s="106"/>
      <x:c r="N45" s="106"/>
      <x:c r="O45" s="106"/>
      <x:c r="P45" s="112"/>
      <x:c r="Q45" s="107"/>
      <x:c r="R45" s="117"/>
    </x:row>
    <x:row r="46" ht="38" customHeight="1">
      <x:c r="A46" s="105"/>
      <x:c r="B46" s="106"/>
      <x:c r="C46" s="106"/>
      <x:c r="D46" s="106"/>
      <x:c r="E46" s="106"/>
      <x:c r="F46" s="106"/>
      <x:c r="G46" s="106"/>
      <x:c r="H46" s="106"/>
      <x:c r="I46" s="106"/>
      <x:c r="J46" s="106"/>
      <x:c r="K46" s="106"/>
      <x:c r="L46" s="112"/>
      <x:c r="M46" s="106"/>
      <x:c r="N46" s="106"/>
      <x:c r="O46" s="106"/>
      <x:c r="P46" s="112"/>
      <x:c r="Q46" s="107"/>
      <x:c r="R46" s="117"/>
    </x:row>
    <x:row r="47" ht="38" customHeight="1">
      <x:c r="A47" s="105"/>
      <x:c r="B47" s="106"/>
      <x:c r="C47" s="106"/>
      <x:c r="D47" s="106"/>
      <x:c r="E47" s="106"/>
      <x:c r="F47" s="106"/>
      <x:c r="G47" s="106"/>
      <x:c r="H47" s="106"/>
      <x:c r="I47" s="106"/>
      <x:c r="J47" s="106"/>
      <x:c r="K47" s="106"/>
      <x:c r="L47" s="112"/>
      <x:c r="M47" s="106"/>
      <x:c r="N47" s="106"/>
      <x:c r="O47" s="106"/>
      <x:c r="P47" s="112"/>
      <x:c r="Q47" s="107"/>
      <x:c r="R47" s="117"/>
    </x:row>
    <x:row r="48" ht="38" customHeight="1">
      <x:c r="A48" s="105"/>
      <x:c r="B48" s="106"/>
      <x:c r="C48" s="106"/>
      <x:c r="D48" s="106"/>
      <x:c r="E48" s="106"/>
      <x:c r="F48" s="106"/>
      <x:c r="G48" s="106"/>
      <x:c r="H48" s="106"/>
      <x:c r="I48" s="106"/>
      <x:c r="J48" s="106"/>
      <x:c r="K48" s="106"/>
      <x:c r="L48" s="112"/>
      <x:c r="M48" s="106"/>
      <x:c r="N48" s="106"/>
      <x:c r="O48" s="106"/>
      <x:c r="P48" s="112"/>
      <x:c r="Q48" s="107"/>
      <x:c r="R48" s="117"/>
    </x:row>
    <x:row r="49" ht="38" customHeight="1">
      <x:c r="A49" s="105"/>
      <x:c r="B49" s="106"/>
      <x:c r="C49" s="106"/>
      <x:c r="D49" s="106"/>
      <x:c r="E49" s="106"/>
      <x:c r="F49" s="106"/>
      <x:c r="G49" s="106"/>
      <x:c r="H49" s="106"/>
      <x:c r="I49" s="106"/>
      <x:c r="J49" s="106"/>
      <x:c r="K49" s="106"/>
      <x:c r="L49" s="112"/>
      <x:c r="M49" s="106"/>
      <x:c r="N49" s="106"/>
      <x:c r="O49" s="106"/>
      <x:c r="P49" s="112"/>
      <x:c r="Q49" s="107"/>
      <x:c r="R49" s="117"/>
    </x:row>
    <x:row r="50" ht="38" customHeight="1">
      <x:c r="A50" s="105"/>
      <x:c r="B50" s="106"/>
      <x:c r="C50" s="106"/>
      <x:c r="D50" s="106"/>
      <x:c r="E50" s="106"/>
      <x:c r="F50" s="106"/>
      <x:c r="G50" s="106"/>
      <x:c r="H50" s="106"/>
      <x:c r="I50" s="106"/>
      <x:c r="J50" s="106"/>
      <x:c r="K50" s="106"/>
      <x:c r="L50" s="112"/>
      <x:c r="M50" s="106"/>
      <x:c r="N50" s="106"/>
      <x:c r="O50" s="106"/>
      <x:c r="P50" s="112"/>
      <x:c r="Q50" s="107"/>
      <x:c r="R50" s="117"/>
    </x:row>
    <x:row r="51" ht="38" customHeight="1">
      <x:c r="A51" s="105"/>
      <x:c r="B51" s="106"/>
      <x:c r="C51" s="106"/>
      <x:c r="D51" s="106"/>
      <x:c r="E51" s="106"/>
      <x:c r="F51" s="106"/>
      <x:c r="G51" s="106"/>
      <x:c r="H51" s="106"/>
      <x:c r="I51" s="106"/>
      <x:c r="J51" s="106"/>
      <x:c r="K51" s="106"/>
      <x:c r="L51" s="112"/>
      <x:c r="M51" s="106"/>
      <x:c r="N51" s="106"/>
      <x:c r="O51" s="106"/>
      <x:c r="P51" s="112"/>
      <x:c r="Q51" s="107"/>
      <x:c r="R51" s="117"/>
    </x:row>
    <x:row r="52" ht="38" customHeight="1">
      <x:c r="A52" s="105"/>
      <x:c r="B52" s="106"/>
      <x:c r="C52" s="106"/>
      <x:c r="D52" s="106"/>
      <x:c r="E52" s="106"/>
      <x:c r="F52" s="106"/>
      <x:c r="G52" s="106"/>
      <x:c r="H52" s="106"/>
      <x:c r="I52" s="106"/>
      <x:c r="J52" s="106"/>
      <x:c r="K52" s="106"/>
      <x:c r="L52" s="112"/>
      <x:c r="M52" s="106"/>
      <x:c r="N52" s="106"/>
      <x:c r="O52" s="106"/>
      <x:c r="P52" s="112"/>
      <x:c r="Q52" s="107"/>
      <x:c r="R52" s="117"/>
    </x:row>
    <x:row r="53" ht="38" customHeight="1">
      <x:c r="A53" s="108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13"/>
      <x:c r="M53" s="109"/>
      <x:c r="N53" s="109"/>
      <x:c r="O53" s="109"/>
      <x:c r="P53" s="113"/>
      <x:c r="Q53" s="110"/>
      <x:c r="R53" s="117"/>
    </x:row>
  </x:sheetData>
  <x:mergeCells>
    <x:mergeCell ref="A1:R1"/>
    <x:mergeCell ref="A2:R2"/>
    <x:mergeCell ref="B3:C3"/>
    <x:mergeCell ref="E3:F3"/>
    <x:mergeCell ref="H3:J3"/>
    <x:mergeCell ref="P3:R3"/>
    <x:mergeCell ref="B4:D4"/>
    <x:mergeCell ref="F4:H4"/>
    <x:mergeCell ref="J4:K4"/>
    <x:mergeCell ref="M4:O4"/>
    <x:mergeCell ref="Q4:R4"/>
    <x:mergeCell ref="B5:R6"/>
    <x:mergeCell ref="A8:R8"/>
    <x:mergeCell ref="A32:Q32"/>
  </x:mergeCells>
  <x:dataValidations count="13">
    <x:dataValidation type="list" sqref="L3">
      <x:formula1>"TDR1,TDR2,TDR3,TDR1＋TDR2"</x:formula1>
    </x:dataValidation>
    <x:dataValidation type="list" sqref="J4:K4">
      <x:formula1>"G,GR,NG"</x:formula1>
    </x:dataValidation>
    <x:dataValidation type="list" sqref="Q4:R4">
      <x:formula1>"草稿,会签中,待确认,已完成,已锁定"</x:formula1>
    </x:dataValidation>
    <x:dataValidation type="list" sqref="E10:E29">
      <x:formula1>"是,否"</x:formula1>
    </x:dataValidation>
    <x:dataValidation type="list" sqref="H10:H29">
      <x:formula1>"已确认,待确认,材料不足"</x:formula1>
    </x:dataValidation>
    <x:dataValidation type="list" sqref="J10:J29">
      <x:formula1>"按时完成,逾期完成,未完成,材料不足"</x:formula1>
    </x:dataValidation>
    <x:dataValidation type="list" sqref="K10:K29">
      <x:formula1>"有效参加,部分参加,仅挂会无有效参与,缺席"</x:formula1>
    </x:dataValidation>
    <x:dataValidation type="list" sqref="L10:L29">
      <x:formula1>"正常,缺席,个人改派,组织调整,特殊豁免"</x:formula1>
    </x:dataValidation>
    <x:dataValidation type="list" sqref="M10:M29">
      <x:formula1>"全部,部分,未完成,范围未确认"</x:formula1>
    </x:dataValidation>
    <x:dataValidation type="list" sqref="N10:N29">
      <x:formula1>"G,GR,NG"</x:formula1>
    </x:dataValidation>
    <x:dataValidation type="list" sqref="H34:H53">
      <x:formula1>"一般建议,风险,阻断"</x:formula1>
    </x:dataValidation>
    <x:dataValidation type="list" sqref="I34:I53">
      <x:formula1>"是,否,带风险推进"</x:formula1>
    </x:dataValidation>
    <x:dataValidation type="list" sqref="N34:N53">
      <x:formula1>"待处理,处理中,待复核,已关闭,不采纳"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2b67434d75446cb"/>
    <x:tablePart xmlns:r="http://schemas.openxmlformats.org/officeDocument/2006/relationships" r:id="R5a5c4c0d32ba42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4" hidden="0" customWidth="1"/>
    <x:col min="4" max="4" width="22" hidden="0" customWidth="1"/>
    <x:col min="5" max="5" width="13" hidden="0" customWidth="1"/>
    <x:col min="6" max="6" width="13" hidden="0" customWidth="1"/>
    <x:col min="7" max="7" width="11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1" hidden="0" customWidth="1"/>
    <x:col min="14" max="14" width="24" hidden="0" customWidth="1"/>
    <x:col min="15" max="15" width="18" hidden="0" customWidth="1"/>
    <x:col min="16" max="16" width="17" hidden="0" customWidth="1"/>
    <x:col min="17" max="17" width="13" hidden="0" customWidth="1"/>
    <x:col min="18" max="18" width="30" hidden="0" customWidth="1"/>
    <x:col min="19" max="19" width="18" hidden="0" customWidth="1"/>
    <x:col min="20" max="20" width="22" hidden="0" customWidth="1"/>
    <x:col min="21" max="21" width="17" hidden="0" customWidth="1"/>
    <x:col min="22" max="22" width="19" hidden="0" customWidth="1"/>
    <x:col min="23" max="23" width="20" hidden="0" customWidth="1"/>
    <x:col min="24" max="24" width="20" hidden="0" customWidth="1"/>
    <x:col min="25" max="25" width="20" hidden="0" customWidth="1"/>
    <x:col min="26" max="26" width="18" hidden="0" customWidth="1"/>
    <x:col min="27" max="27" width="26" hidden="0" customWidth="1"/>
    <x:col min="28" max="28" width="22" hidden="0" customWidth="1"/>
    <x:col min="29" max="29" width="24" hidden="0" customWidth="1"/>
    <x:col min="30" max="30" width="24" hidden="0" customWidth="1"/>
    <x:col min="31" max="31" width="22" hidden="0" customWidth="1"/>
    <x:col min="32" max="32" width="18" hidden="0" customWidth="1"/>
    <x:col min="33" max="33" width="12" hidden="0" customWidth="1"/>
    <x:col min="34" max="34" width="16" hidden="0" customWidth="1"/>
    <x:col min="35" max="35" width="18" hidden="0" customWidth="1"/>
    <x:col min="36" max="36" width="12" hidden="0" customWidth="1"/>
    <x:col min="37" max="37" width="16" hidden="0" customWidth="1"/>
    <x:col min="38" max="38" width="18" hidden="0" customWidth="1"/>
    <x:col min="39" max="39" width="16" hidden="0" customWidth="1"/>
    <x:col min="40" max="40" width="18" hidden="0" customWidth="1"/>
    <x:col min="41" max="41" width="24" hidden="0" customWidth="1"/>
    <x:col min="42" max="42" width="24" hidden="0" customWidth="1"/>
    <x:col min="43" max="43" width="12" hidden="0" customWidth="1"/>
    <x:col min="44" max="44" width="12" hidden="0" customWidth="1"/>
    <x:col min="45" max="45" width="12" hidden="0" customWidth="1"/>
    <x:col min="46" max="46" width="18" hidden="0" customWidth="1"/>
    <x:col min="47" max="47" width="13" hidden="0" customWidth="1"/>
    <x:col min="48" max="48" width="13" hidden="0" customWidth="1"/>
    <x:col min="49" max="49" width="13" hidden="0" customWidth="1"/>
    <x:col min="50" max="50" width="14" hidden="0" customWidth="1"/>
    <x:col min="51" max="51" width="16" hidden="0" customWidth="1"/>
    <x:col min="52" max="52" width="15" hidden="0" customWidth="1"/>
    <x:col min="53" max="53" width="13" hidden="0" customWidth="1"/>
    <x:col min="54" max="54" width="15" hidden="0" customWidth="1"/>
    <x:col min="55" max="55" width="12" hidden="0" customWidth="1"/>
    <x:col min="56" max="56" width="12" hidden="0" customWidth="1"/>
    <x:col min="57" max="57" width="18" hidden="0" customWidth="1"/>
    <x:col min="58" max="58" width="26" hidden="0" customWidth="1"/>
    <x:col min="59" max="59" width="26" hidden="0" customWidth="1"/>
    <x:col min="60" max="60" width="16" hidden="0" customWidth="1"/>
    <x:col min="61" max="61" width="16" hidden="0" customWidth="1"/>
  </x:cols>
  <x:sheetData>
    <x:row r="1" ht="34" customHeight="1">
      <x:c r="A1" s="188" t="str">
        <x:v>TDT评审专家打分表（AI数据源模板V0.1）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  <x:c r="W1" s="188"/>
      <x:c r="X1" s="188"/>
      <x:c r="Y1" s="188"/>
      <x:c r="Z1" s="188"/>
      <x:c r="AA1" s="188"/>
      <x:c r="AB1" s="188"/>
      <x:c r="AC1" s="188"/>
      <x:c r="AD1" s="188"/>
      <x:c r="AE1" s="188"/>
      <x:c r="AF1" s="188"/>
      <x:c r="AG1" s="188"/>
      <x:c r="AH1" s="188"/>
      <x:c r="AI1" s="188"/>
      <x:c r="AJ1" s="188"/>
      <x:c r="AK1" s="188"/>
      <x:c r="AL1" s="188"/>
      <x:c r="AM1" s="188"/>
      <x:c r="AN1" s="188"/>
      <x:c r="AO1" s="188"/>
      <x:c r="AP1" s="188"/>
      <x:c r="AQ1" s="188"/>
      <x:c r="AR1" s="188"/>
      <x:c r="AS1" s="188"/>
      <x:c r="AT1" s="188"/>
      <x:c r="AU1" s="188"/>
      <x:c r="AV1" s="188"/>
      <x:c r="AW1" s="188"/>
      <x:c r="AX1" s="188"/>
      <x:c r="AY1" s="188"/>
      <x:c r="AZ1" s="188"/>
      <x:c r="BA1" s="188"/>
      <x:c r="BB1" s="188"/>
      <x:c r="BC1" s="188"/>
      <x:c r="BD1" s="188"/>
      <x:c r="BE1" s="188"/>
      <x:c r="BF1" s="188"/>
      <x:c r="BG1" s="188"/>
      <x:c r="BH1" s="188"/>
      <x:c r="BI1" s="188"/>
    </x:row>
    <x:row r="2" ht="24" customHeight="1">
      <x:c r="A2" s="189" t="str">
        <x:v>一行＝项目×TDR节点×专家；负责领域可填写一个或多个。蓝色为AI提取／建议，黄色为人工确认，灰色为公式计算。</x:v>
      </x:c>
      <x:c r="B2" s="189"/>
      <x:c r="C2" s="189"/>
      <x:c r="D2" s="189"/>
      <x:c r="E2" s="189"/>
      <x:c r="F2" s="189"/>
      <x:c r="G2" s="189"/>
      <x:c r="H2" s="189"/>
      <x:c r="I2" s="189"/>
      <x:c r="J2" s="189"/>
      <x:c r="K2" s="189"/>
      <x:c r="L2" s="189"/>
      <x:c r="M2" s="189"/>
      <x:c r="N2" s="189"/>
      <x:c r="O2" s="189"/>
      <x:c r="P2" s="189"/>
      <x:c r="Q2" s="189"/>
      <x:c r="R2" s="189"/>
      <x:c r="S2" s="189"/>
      <x:c r="T2" s="189"/>
      <x:c r="U2" s="189"/>
      <x:c r="V2" s="189"/>
      <x:c r="W2" s="189"/>
      <x:c r="X2" s="189"/>
      <x:c r="Y2" s="189"/>
      <x:c r="Z2" s="189"/>
      <x:c r="AA2" s="189"/>
      <x:c r="AB2" s="189"/>
      <x:c r="AC2" s="189"/>
      <x:c r="AD2" s="189"/>
      <x:c r="AE2" s="189"/>
      <x:c r="AF2" s="189"/>
      <x:c r="AG2" s="189"/>
      <x:c r="AH2" s="189"/>
      <x:c r="AI2" s="189"/>
      <x:c r="AJ2" s="189"/>
      <x:c r="AK2" s="189"/>
      <x:c r="AL2" s="189"/>
      <x:c r="AM2" s="189"/>
      <x:c r="AN2" s="189"/>
      <x:c r="AO2" s="189"/>
      <x:c r="AP2" s="189"/>
      <x:c r="AQ2" s="189"/>
      <x:c r="AR2" s="189"/>
      <x:c r="AS2" s="189"/>
      <x:c r="AT2" s="189"/>
      <x:c r="AU2" s="189"/>
      <x:c r="AV2" s="189"/>
      <x:c r="AW2" s="189"/>
      <x:c r="AX2" s="189"/>
      <x:c r="AY2" s="189"/>
      <x:c r="AZ2" s="189"/>
      <x:c r="BA2" s="189"/>
      <x:c r="BB2" s="189"/>
      <x:c r="BC2" s="189"/>
      <x:c r="BD2" s="189"/>
      <x:c r="BE2" s="189"/>
      <x:c r="BF2" s="189"/>
      <x:c r="BG2" s="189"/>
      <x:c r="BH2" s="189"/>
      <x:c r="BI2" s="189"/>
    </x:row>
    <x:row r="3" ht="24" customHeight="1">
      <x:c r="A3" s="116" t="str">
        <x:v>后台约束：缺席或仅挂会无有效参与时本场综合分＝0；专业两项合计＜30时标记“未达标”。主席附加20分独立展示，不计入基础100分。</x:v>
      </x:c>
      <x:c r="B3" s="116"/>
      <x:c r="C3" s="116"/>
      <x:c r="D3" s="116"/>
      <x:c r="E3" s="116"/>
      <x:c r="F3" s="116"/>
      <x:c r="G3" s="116"/>
      <x:c r="H3" s="116"/>
      <x:c r="I3" s="116"/>
      <x:c r="J3" s="116"/>
      <x:c r="K3" s="116"/>
      <x:c r="L3" s="116"/>
      <x:c r="M3" s="116"/>
      <x:c r="N3" s="116"/>
      <x:c r="O3" s="116"/>
      <x:c r="P3" s="116"/>
      <x:c r="Q3" s="116"/>
      <x:c r="R3" s="116"/>
      <x:c r="S3" s="116"/>
      <x:c r="T3" s="116"/>
      <x:c r="U3" s="116"/>
      <x:c r="V3" s="116"/>
      <x:c r="W3" s="116"/>
      <x:c r="X3" s="116"/>
      <x:c r="Y3" s="116"/>
      <x:c r="Z3" s="116"/>
      <x:c r="AA3" s="116"/>
      <x:c r="AB3" s="116"/>
      <x:c r="AC3" s="116"/>
      <x:c r="AD3" s="116"/>
      <x:c r="AE3" s="116"/>
      <x:c r="AF3" s="116"/>
      <x:c r="AG3" s="116"/>
      <x:c r="AH3" s="116"/>
      <x:c r="AI3" s="116"/>
      <x:c r="AJ3" s="116"/>
      <x:c r="AK3" s="116"/>
      <x:c r="AL3" s="116"/>
      <x:c r="AM3" s="116"/>
      <x:c r="AN3" s="116"/>
      <x:c r="AO3" s="116"/>
      <x:c r="AP3" s="116"/>
      <x:c r="AQ3" s="116"/>
      <x:c r="AR3" s="116"/>
      <x:c r="AS3" s="116"/>
      <x:c r="AT3" s="116"/>
      <x:c r="AU3" s="116"/>
      <x:c r="AV3" s="116"/>
      <x:c r="AW3" s="116"/>
      <x:c r="AX3" s="116"/>
      <x:c r="AY3" s="116"/>
      <x:c r="AZ3" s="116"/>
      <x:c r="BA3" s="116"/>
      <x:c r="BB3" s="116"/>
      <x:c r="BC3" s="116"/>
      <x:c r="BD3" s="116"/>
      <x:c r="BE3" s="116"/>
      <x:c r="BF3" s="116"/>
      <x:c r="BG3" s="116"/>
      <x:c r="BH3" s="116"/>
      <x:c r="BI3" s="116"/>
    </x:row>
    <x:row r="4" ht="26" customHeight="1">
      <x:c r="A4" s="190" t="str">
        <x:v>身份与会签（AI提取）</x:v>
      </x:c>
      <x:c r="B4" s="190" t="str">
        <x:v>身份与会签（AI提取）</x:v>
      </x:c>
      <x:c r="C4" s="190" t="str">
        <x:v>身份与会签（AI提取）</x:v>
      </x:c>
      <x:c r="D4" s="190" t="str">
        <x:v>身份与会签（AI提取）</x:v>
      </x:c>
      <x:c r="E4" s="190" t="str">
        <x:v>身份与会签（AI提取）</x:v>
      </x:c>
      <x:c r="F4" s="190" t="str">
        <x:v>身份与会签（AI提取）</x:v>
      </x:c>
      <x:c r="G4" s="190" t="str">
        <x:v>身份与会签（AI提取）</x:v>
      </x:c>
      <x:c r="H4" s="190" t="str">
        <x:v>身份与会签（AI提取）</x:v>
      </x:c>
      <x:c r="I4" s="190" t="str">
        <x:v>身份与会签（AI提取）</x:v>
      </x:c>
      <x:c r="J4" s="190" t="str">
        <x:v>身份与会签（AI提取）</x:v>
      </x:c>
      <x:c r="K4" s="190" t="str">
        <x:v>身份与会签（AI提取）</x:v>
      </x:c>
      <x:c r="L4" s="190" t="str">
        <x:v>身份与会签（AI提取）</x:v>
      </x:c>
      <x:c r="M4" s="190" t="str">
        <x:v>身份与会签（AI提取）</x:v>
      </x:c>
      <x:c r="N4" s="190" t="str">
        <x:v>身份与会签（AI提取）</x:v>
      </x:c>
      <x:c r="O4" s="190" t="str">
        <x:v>身份与会签（AI提取）</x:v>
      </x:c>
      <x:c r="P4" s="190" t="str">
        <x:v>身份与会签（AI提取）</x:v>
      </x:c>
      <x:c r="Q4" s="190" t="str">
        <x:v>身份与会签（AI提取）</x:v>
      </x:c>
      <x:c r="R4" s="190" t="str">
        <x:v>身份与会签（AI提取）</x:v>
      </x:c>
      <x:c r="S4" s="190" t="str">
        <x:v>身份与会签（AI提取）</x:v>
      </x:c>
      <x:c r="T4" s="191" t="str">
        <x:v>五项评分档位</x:v>
      </x:c>
      <x:c r="U4" s="191" t="str">
        <x:v>五项评分档位</x:v>
      </x:c>
      <x:c r="V4" s="191" t="str">
        <x:v>五项评分档位</x:v>
      </x:c>
      <x:c r="W4" s="191" t="str">
        <x:v>五项评分档位</x:v>
      </x:c>
      <x:c r="X4" s="191" t="str">
        <x:v>五项评分档位</x:v>
      </x:c>
      <x:c r="Y4" s="191" t="str">
        <x:v>五项评分档位</x:v>
      </x:c>
      <x:c r="Z4" s="191" t="str">
        <x:v>五项评分档位</x:v>
      </x:c>
      <x:c r="AA4" s="190" t="str">
        <x:v>五项证据</x:v>
      </x:c>
      <x:c r="AB4" s="190" t="str">
        <x:v>五项证据</x:v>
      </x:c>
      <x:c r="AC4" s="190" t="str">
        <x:v>五项证据</x:v>
      </x:c>
      <x:c r="AD4" s="190" t="str">
        <x:v>五项证据</x:v>
      </x:c>
      <x:c r="AE4" s="190" t="str">
        <x:v>五项证据</x:v>
      </x:c>
      <x:c r="AF4" s="192" t="str">
        <x:v>五项得分（公式）</x:v>
      </x:c>
      <x:c r="AG4" s="192" t="str">
        <x:v>五项得分（公式）</x:v>
      </x:c>
      <x:c r="AH4" s="192" t="str">
        <x:v>五项得分（公式）</x:v>
      </x:c>
      <x:c r="AI4" s="192" t="str">
        <x:v>五项得分（公式）</x:v>
      </x:c>
      <x:c r="AJ4" s="192" t="str">
        <x:v>五项得分（公式）</x:v>
      </x:c>
      <x:c r="AK4" s="191" t="str">
        <x:v>主席附加档位</x:v>
      </x:c>
      <x:c r="AL4" s="191" t="str">
        <x:v>主席附加档位</x:v>
      </x:c>
      <x:c r="AM4" s="191" t="str">
        <x:v>主席附加档位</x:v>
      </x:c>
      <x:c r="AN4" s="191" t="str">
        <x:v>主席附加档位</x:v>
      </x:c>
      <x:c r="AO4" s="190" t="str">
        <x:v>主席证据</x:v>
      </x:c>
      <x:c r="AP4" s="190" t="str">
        <x:v>主席证据</x:v>
      </x:c>
      <x:c r="AQ4" s="192" t="str">
        <x:v>主席计算</x:v>
      </x:c>
      <x:c r="AR4" s="192" t="str">
        <x:v>主席计算</x:v>
      </x:c>
      <x:c r="AS4" s="192" t="str">
        <x:v>主席计算</x:v>
      </x:c>
      <x:c r="AT4" s="192" t="str">
        <x:v>主席计算</x:v>
      </x:c>
      <x:c r="AU4" s="192" t="str">
        <x:v>基础计算与状态</x:v>
      </x:c>
      <x:c r="AV4" s="192" t="str">
        <x:v>基础计算与状态</x:v>
      </x:c>
      <x:c r="AW4" s="192" t="str">
        <x:v>基础计算与状态</x:v>
      </x:c>
      <x:c r="AX4" s="192" t="str">
        <x:v>基础计算与状态</x:v>
      </x:c>
      <x:c r="AY4" s="192" t="str">
        <x:v>基础计算与状态</x:v>
      </x:c>
      <x:c r="AZ4" s="192" t="str">
        <x:v>基础计算与状态</x:v>
      </x:c>
      <x:c r="BA4" s="192" t="str">
        <x:v>基础计算与状态</x:v>
      </x:c>
      <x:c r="BB4" s="192" t="str">
        <x:v>基础计算与状态</x:v>
      </x:c>
      <x:c r="BC4" s="192" t="str">
        <x:v>基础计算与状态</x:v>
      </x:c>
      <x:c r="BD4" s="192" t="str">
        <x:v>基础计算与状态</x:v>
      </x:c>
      <x:c r="BE4" s="190" t="str">
        <x:v>后验修正</x:v>
      </x:c>
      <x:c r="BF4" s="190" t="str">
        <x:v>后验修正</x:v>
      </x:c>
      <x:c r="BG4" s="190" t="str">
        <x:v>后验修正</x:v>
      </x:c>
      <x:c r="BH4" s="190" t="str">
        <x:v>后验修正</x:v>
      </x:c>
      <x:c r="BI4" s="190" t="str">
        <x:v>后验修正</x:v>
      </x:c>
    </x:row>
    <x:row r="5" ht="52" customHeight="1">
      <x:c r="A5" s="27" t="str">
        <x:v>评审专家记录ID</x:v>
      </x:c>
      <x:c r="B5" s="27" t="str">
        <x:v>评审ID</x:v>
      </x:c>
      <x:c r="C5" s="27" t="str">
        <x:v>项目编号</x:v>
      </x:c>
      <x:c r="D5" s="27" t="str">
        <x:v>项目名称</x:v>
      </x:c>
      <x:c r="E5" s="27" t="str">
        <x:v>TDR节点</x:v>
      </x:c>
      <x:c r="F5" s="27" t="str">
        <x:v>会议日期</x:v>
      </x:c>
      <x:c r="G5" s="27" t="str">
        <x:v>考核周期</x:v>
      </x:c>
      <x:c r="H5" s="27" t="str">
        <x:v>PM</x:v>
      </x:c>
      <x:c r="I5" s="27" t="str">
        <x:v>技术项目Owner</x:v>
      </x:c>
      <x:c r="J5" s="27" t="str">
        <x:v>专家ID</x:v>
      </x:c>
      <x:c r="K5" s="27" t="str">
        <x:v>专家姓名</x:v>
      </x:c>
      <x:c r="L5" s="27" t="str">
        <x:v>负责领域</x:v>
      </x:c>
      <x:c r="M5" s="27" t="str">
        <x:v>是否主席</x:v>
      </x:c>
      <x:c r="N5" s="27" t="str">
        <x:v>主责范围摘要</x:v>
      </x:c>
      <x:c r="O5" s="27" t="str">
        <x:v>参会状态</x:v>
      </x:c>
      <x:c r="P5" s="27" t="str">
        <x:v>缺席或改派状态</x:v>
      </x:c>
      <x:c r="Q5" s="27" t="str">
        <x:v>个人会签结论</x:v>
      </x:c>
      <x:c r="R5" s="27" t="str">
        <x:v>评审意见摘要</x:v>
      </x:c>
      <x:c r="S5" s="27" t="str">
        <x:v>对应问题编号</x:v>
      </x:c>
      <x:c r="T5" s="27" t="str">
        <x:v>会前预审正式档位</x:v>
      </x:c>
      <x:c r="U5" s="27" t="str">
        <x:v>评审与会签正式档位</x:v>
      </x:c>
      <x:c r="V5" s="27" t="str">
        <x:v>专业判断准确性AI建议</x:v>
      </x:c>
      <x:c r="W5" s="27" t="str">
        <x:v>专业判断准确性正式档位</x:v>
      </x:c>
      <x:c r="X5" s="27" t="str">
        <x:v>依据与意见充分性AI建议</x:v>
      </x:c>
      <x:c r="Y5" s="27" t="str">
        <x:v>依据与意见充分性正式档位</x:v>
      </x:c>
      <x:c r="Z5" s="27" t="str">
        <x:v>问题闭环正式档位</x:v>
      </x:c>
      <x:c r="AA5" s="27" t="str">
        <x:v>预审证据</x:v>
      </x:c>
      <x:c r="AB5" s="27" t="str">
        <x:v>评审与会签证据</x:v>
      </x:c>
      <x:c r="AC5" s="27" t="str">
        <x:v>专业判断证据</x:v>
      </x:c>
      <x:c r="AD5" s="27" t="str">
        <x:v>依据与意见证据</x:v>
      </x:c>
      <x:c r="AE5" s="27" t="str">
        <x:v>闭环证据</x:v>
      </x:c>
      <x:c r="AF5" s="27" t="str">
        <x:v>会前预审分</x:v>
      </x:c>
      <x:c r="AG5" s="27" t="str">
        <x:v>评审与会签分</x:v>
      </x:c>
      <x:c r="AH5" s="27" t="str">
        <x:v>专业判断准确性分</x:v>
      </x:c>
      <x:c r="AI5" s="27" t="str">
        <x:v>依据与意见充分性分</x:v>
      </x:c>
      <x:c r="AJ5" s="27" t="str">
        <x:v>问题闭环分</x:v>
      </x:c>
      <x:c r="AK5" s="27" t="str">
        <x:v>主席范围AI建议</x:v>
      </x:c>
      <x:c r="AL5" s="27" t="str">
        <x:v>主席范围正式档位</x:v>
      </x:c>
      <x:c r="AM5" s="27" t="str">
        <x:v>主席结论AI建议</x:v>
      </x:c>
      <x:c r="AN5" s="27" t="str">
        <x:v>主席结论正式档位</x:v>
      </x:c>
      <x:c r="AO5" s="27" t="str">
        <x:v>主席范围证据</x:v>
      </x:c>
      <x:c r="AP5" s="27" t="str">
        <x:v>主席结论证据</x:v>
      </x:c>
      <x:c r="AQ5" s="27" t="str">
        <x:v>主席范围分</x:v>
      </x:c>
      <x:c r="AR5" s="27" t="str">
        <x:v>主席结论分</x:v>
      </x:c>
      <x:c r="AS5" s="27" t="str">
        <x:v>主席附加分</x:v>
      </x:c>
      <x:c r="AT5" s="27" t="str">
        <x:v>主席履职状态</x:v>
      </x:c>
      <x:c r="AU5" s="27" t="str">
        <x:v>适用项满分</x:v>
      </x:c>
      <x:c r="AV5" s="27" t="str">
        <x:v>基础原始分</x:v>
      </x:c>
      <x:c r="AW5" s="27" t="str">
        <x:v>基础折算分</x:v>
      </x:c>
      <x:c r="AX5" s="27" t="str">
        <x:v>专业两项合计</x:v>
      </x:c>
      <x:c r="AY5" s="27" t="str">
        <x:v>专业质量状态</x:v>
      </x:c>
      <x:c r="AZ5" s="27" t="str">
        <x:v>缺席后台标记</x:v>
      </x:c>
      <x:c r="BA5" s="27" t="str">
        <x:v>本场综合分</x:v>
      </x:c>
      <x:c r="BB5" s="27" t="str">
        <x:v>记录状态</x:v>
      </x:c>
      <x:c r="BC5" s="27" t="str">
        <x:v>初评分</x:v>
      </x:c>
      <x:c r="BD5" s="27" t="str">
        <x:v>当前分</x:v>
      </x:c>
      <x:c r="BE5" s="27" t="str">
        <x:v>修正评分项</x:v>
      </x:c>
      <x:c r="BF5" s="27" t="str">
        <x:v>修正原因</x:v>
      </x:c>
      <x:c r="BG5" s="27" t="str">
        <x:v>修正证据链接</x:v>
      </x:c>
      <x:c r="BH5" s="27" t="str">
        <x:v>修正确认日期</x:v>
      </x:c>
      <x:c r="BI5" s="27" t="str">
        <x:v>锁定日期</x:v>
      </x:c>
    </x:row>
    <x:row r="6" ht="32" customHeight="1">
      <x:c r="A6" s="158"/>
      <x:c r="B6" s="159"/>
      <x:c r="C6" s="159"/>
      <x:c r="D6" s="159"/>
      <x:c r="E6" s="159"/>
      <x:c r="F6" s="179"/>
      <x:c r="G6" s="159" t="str">
        <x:f>IF(F6="","","H"&amp;IF(MONTH(F6)&lt;=6,1,2))</x:f>
      </x:c>
      <x:c r="H6" s="159"/>
      <x:c r="I6" s="159"/>
      <x:c r="J6" s="159"/>
      <x:c r="K6" s="159"/>
      <x:c r="L6" s="159"/>
      <x:c r="M6" s="159"/>
      <x:c r="N6" s="159"/>
      <x:c r="O6" s="159"/>
      <x:c r="P6" s="159"/>
      <x:c r="Q6" s="159"/>
      <x:c r="R6" s="159"/>
      <x:c r="S6" s="159"/>
      <x:c r="T6" s="164"/>
      <x:c r="U6" s="164"/>
      <x:c r="V6" s="167"/>
      <x:c r="W6" s="164"/>
      <x:c r="X6" s="167"/>
      <x:c r="Y6" s="164"/>
      <x:c r="Z6" s="164"/>
      <x:c r="AA6" s="170"/>
      <x:c r="AB6" s="170"/>
      <x:c r="AC6" s="170"/>
      <x:c r="AD6" s="170"/>
      <x:c r="AE6" s="170"/>
      <x:c r="AF6" s="173" t="str">
        <x:f>IF(T6="","",IF(T6="不适用",0,IF(T6="满分档",10,IF(T6="中间档",5,0))))</x:f>
      </x:c>
      <x:c r="AG6" s="173" t="str">
        <x:f>IF(U6="","",IF(U6="不适用",0,IF(U6="满分档",30,IF(U6="中间档",15,0))))</x:f>
      </x:c>
      <x:c r="AH6" s="173" t="str">
        <x:f>IF(W6="","",IF(W6="满分档",25,IF(W6="中间档",15,0)))</x:f>
      </x:c>
      <x:c r="AI6" s="173" t="str">
        <x:f>IF(Y6="","",IF(Y6="满分档",25,IF(Y6="中间档",15,0)))</x:f>
      </x:c>
      <x:c r="AJ6" s="173" t="str">
        <x:f>IF(Z6="","",IF(Z6="不适用",0,IF(Z6="满分档",10,IF(Z6="中间档",5,0))))</x:f>
      </x:c>
      <x:c r="AK6" s="167"/>
      <x:c r="AL6" s="164"/>
      <x:c r="AM6" s="167"/>
      <x:c r="AN6" s="164"/>
      <x:c r="AO6" s="170"/>
      <x:c r="AP6" s="170"/>
      <x:c r="AQ6" s="173" t="str">
        <x:f>IF(M6&lt;&gt;"是","",IF(AL6="","",IF(AL6="突出档",10,IF(AL6="达标档",6,0))))</x:f>
      </x:c>
      <x:c r="AR6" s="173" t="str">
        <x:f>IF(M6&lt;&gt;"是","",IF(AN6="","",IF(AN6="突出档",10,IF(AN6="达标档",6,0))))</x:f>
      </x:c>
      <x:c r="AS6" s="173" t="str">
        <x:f>IF(M6&lt;&gt;"是","",IF(OR(AQ6="",AR6=""),"",SUM(AQ6:AR6)))</x:f>
      </x:c>
      <x:c r="AT6" s="173" t="str">
        <x:f>IF(M6&lt;&gt;"是","",IF(OR(AL6="",AN6=""),"",IF(OR(AL6="0分档",AN6="0分档"),"主席履职待改进",IF(AND(AL6="突出档",AN6="突出档"),"主席履职突出","主席履职合格"))))</x:f>
      </x:c>
      <x:c r="AU6" s="173" t="str">
        <x:f>IF(OR(T6="",U6="",W6="",Y6="",Z6=""),"",IF(T6="不适用",0,10)+IF(U6="不适用",0,30)+25+25+IF(Z6="不适用",0,10))</x:f>
      </x:c>
      <x:c r="AV6" s="173" t="str">
        <x:f>IF(AU6="","",SUM(AF6:AJ6))</x:f>
      </x:c>
      <x:c r="AW6" s="185" t="str">
        <x:f>IF(AU6="","",ROUND(AV6/AU6*100,1))</x:f>
      </x:c>
      <x:c r="AX6" s="173" t="str">
        <x:f>IF(OR(AH6="",AI6=""),"",AH6+AI6)</x:f>
      </x:c>
      <x:c r="AY6" s="173" t="str">
        <x:f>IF(AX6="","",IF(AX6&lt;30,"未达标","达到门槛"))</x:f>
      </x:c>
      <x:c r="AZ6" s="173" t="str">
        <x:f>IF(A6="","",IF(OR(O6="仅挂会无有效参与",O6="缺席"),"是","否"))</x:f>
      </x:c>
      <x:c r="BA6" s="185" t="str">
        <x:f>IF(A6="","",IF(AZ6="是",0,AW6))</x:f>
      </x:c>
      <x:c r="BB6" s="173"/>
      <x:c r="BC6" s="185"/>
      <x:c r="BD6" s="185" t="str">
        <x:f>IF(A6="","",BA6)</x:f>
      </x:c>
      <x:c r="BE6" s="159"/>
      <x:c r="BF6" s="159"/>
      <x:c r="BG6" s="159"/>
      <x:c r="BH6" s="179"/>
      <x:c r="BI6" s="182"/>
    </x:row>
    <x:row r="7" ht="32" customHeight="1">
      <x:c r="A7" s="160"/>
      <x:c r="B7" s="161"/>
      <x:c r="C7" s="161"/>
      <x:c r="D7" s="161"/>
      <x:c r="E7" s="161"/>
      <x:c r="F7" s="180"/>
      <x:c r="G7" s="161" t="str">
        <x:f>IF(F7="","","H"&amp;IF(MONTH(F7)&lt;=6,1,2))</x:f>
      </x:c>
      <x:c r="H7" s="161"/>
      <x:c r="I7" s="161"/>
      <x:c r="J7" s="161"/>
      <x:c r="K7" s="161"/>
      <x:c r="L7" s="161"/>
      <x:c r="M7" s="161"/>
      <x:c r="N7" s="161"/>
      <x:c r="O7" s="161"/>
      <x:c r="P7" s="161"/>
      <x:c r="Q7" s="161"/>
      <x:c r="R7" s="161"/>
      <x:c r="S7" s="161"/>
      <x:c r="T7" s="165"/>
      <x:c r="U7" s="165"/>
      <x:c r="V7" s="168"/>
      <x:c r="W7" s="165"/>
      <x:c r="X7" s="168"/>
      <x:c r="Y7" s="165"/>
      <x:c r="Z7" s="165"/>
      <x:c r="AA7" s="171"/>
      <x:c r="AB7" s="171"/>
      <x:c r="AC7" s="171"/>
      <x:c r="AD7" s="171"/>
      <x:c r="AE7" s="171"/>
      <x:c r="AF7" s="174" t="str">
        <x:f>IF(T7="","",IF(T7="不适用",0,IF(T7="满分档",10,IF(T7="中间档",5,0))))</x:f>
      </x:c>
      <x:c r="AG7" s="174" t="str">
        <x:f>IF(U7="","",IF(U7="不适用",0,IF(U7="满分档",30,IF(U7="中间档",15,0))))</x:f>
      </x:c>
      <x:c r="AH7" s="174" t="str">
        <x:f>IF(W7="","",IF(W7="满分档",25,IF(W7="中间档",15,0)))</x:f>
      </x:c>
      <x:c r="AI7" s="174" t="str">
        <x:f>IF(Y7="","",IF(Y7="满分档",25,IF(Y7="中间档",15,0)))</x:f>
      </x:c>
      <x:c r="AJ7" s="174" t="str">
        <x:f>IF(Z7="","",IF(Z7="不适用",0,IF(Z7="满分档",10,IF(Z7="中间档",5,0))))</x:f>
      </x:c>
      <x:c r="AK7" s="168"/>
      <x:c r="AL7" s="165"/>
      <x:c r="AM7" s="168"/>
      <x:c r="AN7" s="165"/>
      <x:c r="AO7" s="171"/>
      <x:c r="AP7" s="171"/>
      <x:c r="AQ7" s="174" t="str">
        <x:f>IF(M7&lt;&gt;"是","",IF(AL7="","",IF(AL7="突出档",10,IF(AL7="达标档",6,0))))</x:f>
      </x:c>
      <x:c r="AR7" s="174" t="str">
        <x:f>IF(M7&lt;&gt;"是","",IF(AN7="","",IF(AN7="突出档",10,IF(AN7="达标档",6,0))))</x:f>
      </x:c>
      <x:c r="AS7" s="174" t="str">
        <x:f>IF(M7&lt;&gt;"是","",IF(OR(AQ7="",AR7=""),"",SUM(AQ7:AR7)))</x:f>
      </x:c>
      <x:c r="AT7" s="174" t="str">
        <x:f>IF(M7&lt;&gt;"是","",IF(OR(AL7="",AN7=""),"",IF(OR(AL7="0分档",AN7="0分档"),"主席履职待改进",IF(AND(AL7="突出档",AN7="突出档"),"主席履职突出","主席履职合格"))))</x:f>
      </x:c>
      <x:c r="AU7" s="174" t="str">
        <x:f>IF(OR(T7="",U7="",W7="",Y7="",Z7=""),"",IF(T7="不适用",0,10)+IF(U7="不适用",0,30)+25+25+IF(Z7="不适用",0,10))</x:f>
      </x:c>
      <x:c r="AV7" s="174" t="str">
        <x:f>IF(AU7="","",SUM(AF7:AJ7))</x:f>
      </x:c>
      <x:c r="AW7" s="186" t="str">
        <x:f>IF(AU7="","",ROUND(AV7/AU7*100,1))</x:f>
      </x:c>
      <x:c r="AX7" s="174" t="str">
        <x:f>IF(OR(AH7="",AI7=""),"",AH7+AI7)</x:f>
      </x:c>
      <x:c r="AY7" s="174" t="str">
        <x:f>IF(AX7="","",IF(AX7&lt;30,"未达标","达到门槛"))</x:f>
      </x:c>
      <x:c r="AZ7" s="174" t="str">
        <x:f>IF(A7="","",IF(OR(O7="仅挂会无有效参与",O7="缺席"),"是","否"))</x:f>
      </x:c>
      <x:c r="BA7" s="186" t="str">
        <x:f>IF(A7="","",IF(AZ7="是",0,AW7))</x:f>
      </x:c>
      <x:c r="BB7" s="174"/>
      <x:c r="BC7" s="186"/>
      <x:c r="BD7" s="186" t="str">
        <x:f>IF(A7="","",BA7)</x:f>
      </x:c>
      <x:c r="BE7" s="161"/>
      <x:c r="BF7" s="161"/>
      <x:c r="BG7" s="161"/>
      <x:c r="BH7" s="180"/>
      <x:c r="BI7" s="183"/>
    </x:row>
    <x:row r="8" ht="32" customHeight="1">
      <x:c r="A8" s="160"/>
      <x:c r="B8" s="161"/>
      <x:c r="C8" s="161"/>
      <x:c r="D8" s="161"/>
      <x:c r="E8" s="161"/>
      <x:c r="F8" s="180"/>
      <x:c r="G8" s="161" t="str">
        <x:f>IF(F8="","","H"&amp;IF(MONTH(F8)&lt;=6,1,2))</x:f>
      </x:c>
      <x:c r="H8" s="161"/>
      <x:c r="I8" s="161"/>
      <x:c r="J8" s="161"/>
      <x:c r="K8" s="161"/>
      <x:c r="L8" s="161"/>
      <x:c r="M8" s="161"/>
      <x:c r="N8" s="161"/>
      <x:c r="O8" s="161"/>
      <x:c r="P8" s="161"/>
      <x:c r="Q8" s="161"/>
      <x:c r="R8" s="161"/>
      <x:c r="S8" s="161"/>
      <x:c r="T8" s="165"/>
      <x:c r="U8" s="165"/>
      <x:c r="V8" s="168"/>
      <x:c r="W8" s="165"/>
      <x:c r="X8" s="168"/>
      <x:c r="Y8" s="165"/>
      <x:c r="Z8" s="165"/>
      <x:c r="AA8" s="171"/>
      <x:c r="AB8" s="171"/>
      <x:c r="AC8" s="171"/>
      <x:c r="AD8" s="171"/>
      <x:c r="AE8" s="171"/>
      <x:c r="AF8" s="174" t="str">
        <x:f>IF(T8="","",IF(T8="不适用",0,IF(T8="满分档",10,IF(T8="中间档",5,0))))</x:f>
      </x:c>
      <x:c r="AG8" s="174" t="str">
        <x:f>IF(U8="","",IF(U8="不适用",0,IF(U8="满分档",30,IF(U8="中间档",15,0))))</x:f>
      </x:c>
      <x:c r="AH8" s="174" t="str">
        <x:f>IF(W8="","",IF(W8="满分档",25,IF(W8="中间档",15,0)))</x:f>
      </x:c>
      <x:c r="AI8" s="174" t="str">
        <x:f>IF(Y8="","",IF(Y8="满分档",25,IF(Y8="中间档",15,0)))</x:f>
      </x:c>
      <x:c r="AJ8" s="174" t="str">
        <x:f>IF(Z8="","",IF(Z8="不适用",0,IF(Z8="满分档",10,IF(Z8="中间档",5,0))))</x:f>
      </x:c>
      <x:c r="AK8" s="168"/>
      <x:c r="AL8" s="165"/>
      <x:c r="AM8" s="168"/>
      <x:c r="AN8" s="165"/>
      <x:c r="AO8" s="171"/>
      <x:c r="AP8" s="171"/>
      <x:c r="AQ8" s="174" t="str">
        <x:f>IF(M8&lt;&gt;"是","",IF(AL8="","",IF(AL8="突出档",10,IF(AL8="达标档",6,0))))</x:f>
      </x:c>
      <x:c r="AR8" s="174" t="str">
        <x:f>IF(M8&lt;&gt;"是","",IF(AN8="","",IF(AN8="突出档",10,IF(AN8="达标档",6,0))))</x:f>
      </x:c>
      <x:c r="AS8" s="174" t="str">
        <x:f>IF(M8&lt;&gt;"是","",IF(OR(AQ8="",AR8=""),"",SUM(AQ8:AR8)))</x:f>
      </x:c>
      <x:c r="AT8" s="174" t="str">
        <x:f>IF(M8&lt;&gt;"是","",IF(OR(AL8="",AN8=""),"",IF(OR(AL8="0分档",AN8="0分档"),"主席履职待改进",IF(AND(AL8="突出档",AN8="突出档"),"主席履职突出","主席履职合格"))))</x:f>
      </x:c>
      <x:c r="AU8" s="174" t="str">
        <x:f>IF(OR(T8="",U8="",W8="",Y8="",Z8=""),"",IF(T8="不适用",0,10)+IF(U8="不适用",0,30)+25+25+IF(Z8="不适用",0,10))</x:f>
      </x:c>
      <x:c r="AV8" s="174" t="str">
        <x:f>IF(AU8="","",SUM(AF8:AJ8))</x:f>
      </x:c>
      <x:c r="AW8" s="186" t="str">
        <x:f>IF(AU8="","",ROUND(AV8/AU8*100,1))</x:f>
      </x:c>
      <x:c r="AX8" s="174" t="str">
        <x:f>IF(OR(AH8="",AI8=""),"",AH8+AI8)</x:f>
      </x:c>
      <x:c r="AY8" s="174" t="str">
        <x:f>IF(AX8="","",IF(AX8&lt;30,"未达标","达到门槛"))</x:f>
      </x:c>
      <x:c r="AZ8" s="174" t="str">
        <x:f>IF(A8="","",IF(OR(O8="仅挂会无有效参与",O8="缺席"),"是","否"))</x:f>
      </x:c>
      <x:c r="BA8" s="186" t="str">
        <x:f>IF(A8="","",IF(AZ8="是",0,AW8))</x:f>
      </x:c>
      <x:c r="BB8" s="174"/>
      <x:c r="BC8" s="186"/>
      <x:c r="BD8" s="186" t="str">
        <x:f>IF(A8="","",BA8)</x:f>
      </x:c>
      <x:c r="BE8" s="161"/>
      <x:c r="BF8" s="161"/>
      <x:c r="BG8" s="161"/>
      <x:c r="BH8" s="180"/>
      <x:c r="BI8" s="183"/>
    </x:row>
    <x:row r="9" ht="32" customHeight="1">
      <x:c r="A9" s="160"/>
      <x:c r="B9" s="161"/>
      <x:c r="C9" s="161"/>
      <x:c r="D9" s="161"/>
      <x:c r="E9" s="161"/>
      <x:c r="F9" s="180"/>
      <x:c r="G9" s="161" t="str">
        <x:f>IF(F9="","","H"&amp;IF(MONTH(F9)&lt;=6,1,2))</x:f>
      </x:c>
      <x:c r="H9" s="161"/>
      <x:c r="I9" s="161"/>
      <x:c r="J9" s="161"/>
      <x:c r="K9" s="161"/>
      <x:c r="L9" s="161"/>
      <x:c r="M9" s="161"/>
      <x:c r="N9" s="161"/>
      <x:c r="O9" s="161"/>
      <x:c r="P9" s="161"/>
      <x:c r="Q9" s="161"/>
      <x:c r="R9" s="161"/>
      <x:c r="S9" s="161"/>
      <x:c r="T9" s="165"/>
      <x:c r="U9" s="165"/>
      <x:c r="V9" s="168"/>
      <x:c r="W9" s="165"/>
      <x:c r="X9" s="168"/>
      <x:c r="Y9" s="165"/>
      <x:c r="Z9" s="165"/>
      <x:c r="AA9" s="171"/>
      <x:c r="AB9" s="171"/>
      <x:c r="AC9" s="171"/>
      <x:c r="AD9" s="171"/>
      <x:c r="AE9" s="171"/>
      <x:c r="AF9" s="174" t="str">
        <x:f>IF(T9="","",IF(T9="不适用",0,IF(T9="满分档",10,IF(T9="中间档",5,0))))</x:f>
      </x:c>
      <x:c r="AG9" s="174" t="str">
        <x:f>IF(U9="","",IF(U9="不适用",0,IF(U9="满分档",30,IF(U9="中间档",15,0))))</x:f>
      </x:c>
      <x:c r="AH9" s="174" t="str">
        <x:f>IF(W9="","",IF(W9="满分档",25,IF(W9="中间档",15,0)))</x:f>
      </x:c>
      <x:c r="AI9" s="174" t="str">
        <x:f>IF(Y9="","",IF(Y9="满分档",25,IF(Y9="中间档",15,0)))</x:f>
      </x:c>
      <x:c r="AJ9" s="174" t="str">
        <x:f>IF(Z9="","",IF(Z9="不适用",0,IF(Z9="满分档",10,IF(Z9="中间档",5,0))))</x:f>
      </x:c>
      <x:c r="AK9" s="168"/>
      <x:c r="AL9" s="165"/>
      <x:c r="AM9" s="168"/>
      <x:c r="AN9" s="165"/>
      <x:c r="AO9" s="171"/>
      <x:c r="AP9" s="171"/>
      <x:c r="AQ9" s="174" t="str">
        <x:f>IF(M9&lt;&gt;"是","",IF(AL9="","",IF(AL9="突出档",10,IF(AL9="达标档",6,0))))</x:f>
      </x:c>
      <x:c r="AR9" s="174" t="str">
        <x:f>IF(M9&lt;&gt;"是","",IF(AN9="","",IF(AN9="突出档",10,IF(AN9="达标档",6,0))))</x:f>
      </x:c>
      <x:c r="AS9" s="174" t="str">
        <x:f>IF(M9&lt;&gt;"是","",IF(OR(AQ9="",AR9=""),"",SUM(AQ9:AR9)))</x:f>
      </x:c>
      <x:c r="AT9" s="174" t="str">
        <x:f>IF(M9&lt;&gt;"是","",IF(OR(AL9="",AN9=""),"",IF(OR(AL9="0分档",AN9="0分档"),"主席履职待改进",IF(AND(AL9="突出档",AN9="突出档"),"主席履职突出","主席履职合格"))))</x:f>
      </x:c>
      <x:c r="AU9" s="174" t="str">
        <x:f>IF(OR(T9="",U9="",W9="",Y9="",Z9=""),"",IF(T9="不适用",0,10)+IF(U9="不适用",0,30)+25+25+IF(Z9="不适用",0,10))</x:f>
      </x:c>
      <x:c r="AV9" s="174" t="str">
        <x:f>IF(AU9="","",SUM(AF9:AJ9))</x:f>
      </x:c>
      <x:c r="AW9" s="186" t="str">
        <x:f>IF(AU9="","",ROUND(AV9/AU9*100,1))</x:f>
      </x:c>
      <x:c r="AX9" s="174" t="str">
        <x:f>IF(OR(AH9="",AI9=""),"",AH9+AI9)</x:f>
      </x:c>
      <x:c r="AY9" s="174" t="str">
        <x:f>IF(AX9="","",IF(AX9&lt;30,"未达标","达到门槛"))</x:f>
      </x:c>
      <x:c r="AZ9" s="174" t="str">
        <x:f>IF(A9="","",IF(OR(O9="仅挂会无有效参与",O9="缺席"),"是","否"))</x:f>
      </x:c>
      <x:c r="BA9" s="186" t="str">
        <x:f>IF(A9="","",IF(AZ9="是",0,AW9))</x:f>
      </x:c>
      <x:c r="BB9" s="174"/>
      <x:c r="BC9" s="186"/>
      <x:c r="BD9" s="186" t="str">
        <x:f>IF(A9="","",BA9)</x:f>
      </x:c>
      <x:c r="BE9" s="161"/>
      <x:c r="BF9" s="161"/>
      <x:c r="BG9" s="161"/>
      <x:c r="BH9" s="180"/>
      <x:c r="BI9" s="183"/>
    </x:row>
    <x:row r="10" ht="32" customHeight="1">
      <x:c r="A10" s="160"/>
      <x:c r="B10" s="161"/>
      <x:c r="C10" s="161"/>
      <x:c r="D10" s="161"/>
      <x:c r="E10" s="161"/>
      <x:c r="F10" s="180"/>
      <x:c r="G10" s="161" t="str">
        <x:f>IF(F10="","","H"&amp;IF(MONTH(F10)&lt;=6,1,2))</x:f>
      </x:c>
      <x:c r="H10" s="161"/>
      <x:c r="I10" s="161"/>
      <x:c r="J10" s="161"/>
      <x:c r="K10" s="161"/>
      <x:c r="L10" s="161"/>
      <x:c r="M10" s="161"/>
      <x:c r="N10" s="161"/>
      <x:c r="O10" s="161"/>
      <x:c r="P10" s="161"/>
      <x:c r="Q10" s="161"/>
      <x:c r="R10" s="161"/>
      <x:c r="S10" s="161"/>
      <x:c r="T10" s="165"/>
      <x:c r="U10" s="165"/>
      <x:c r="V10" s="168"/>
      <x:c r="W10" s="165"/>
      <x:c r="X10" s="168"/>
      <x:c r="Y10" s="165"/>
      <x:c r="Z10" s="165"/>
      <x:c r="AA10" s="171"/>
      <x:c r="AB10" s="171"/>
      <x:c r="AC10" s="171"/>
      <x:c r="AD10" s="171"/>
      <x:c r="AE10" s="171"/>
      <x:c r="AF10" s="174" t="str">
        <x:f>IF(T10="","",IF(T10="不适用",0,IF(T10="满分档",10,IF(T10="中间档",5,0))))</x:f>
      </x:c>
      <x:c r="AG10" s="174" t="str">
        <x:f>IF(U10="","",IF(U10="不适用",0,IF(U10="满分档",30,IF(U10="中间档",15,0))))</x:f>
      </x:c>
      <x:c r="AH10" s="174" t="str">
        <x:f>IF(W10="","",IF(W10="满分档",25,IF(W10="中间档",15,0)))</x:f>
      </x:c>
      <x:c r="AI10" s="174" t="str">
        <x:f>IF(Y10="","",IF(Y10="满分档",25,IF(Y10="中间档",15,0)))</x:f>
      </x:c>
      <x:c r="AJ10" s="174" t="str">
        <x:f>IF(Z10="","",IF(Z10="不适用",0,IF(Z10="满分档",10,IF(Z10="中间档",5,0))))</x:f>
      </x:c>
      <x:c r="AK10" s="168"/>
      <x:c r="AL10" s="165"/>
      <x:c r="AM10" s="168"/>
      <x:c r="AN10" s="165"/>
      <x:c r="AO10" s="171"/>
      <x:c r="AP10" s="171"/>
      <x:c r="AQ10" s="174" t="str">
        <x:f>IF(M10&lt;&gt;"是","",IF(AL10="","",IF(AL10="突出档",10,IF(AL10="达标档",6,0))))</x:f>
      </x:c>
      <x:c r="AR10" s="174" t="str">
        <x:f>IF(M10&lt;&gt;"是","",IF(AN10="","",IF(AN10="突出档",10,IF(AN10="达标档",6,0))))</x:f>
      </x:c>
      <x:c r="AS10" s="174" t="str">
        <x:f>IF(M10&lt;&gt;"是","",IF(OR(AQ10="",AR10=""),"",SUM(AQ10:AR10)))</x:f>
      </x:c>
      <x:c r="AT10" s="174" t="str">
        <x:f>IF(M10&lt;&gt;"是","",IF(OR(AL10="",AN10=""),"",IF(OR(AL10="0分档",AN10="0分档"),"主席履职待改进",IF(AND(AL10="突出档",AN10="突出档"),"主席履职突出","主席履职合格"))))</x:f>
      </x:c>
      <x:c r="AU10" s="174" t="str">
        <x:f>IF(OR(T10="",U10="",W10="",Y10="",Z10=""),"",IF(T10="不适用",0,10)+IF(U10="不适用",0,30)+25+25+IF(Z10="不适用",0,10))</x:f>
      </x:c>
      <x:c r="AV10" s="174" t="str">
        <x:f>IF(AU10="","",SUM(AF10:AJ10))</x:f>
      </x:c>
      <x:c r="AW10" s="186" t="str">
        <x:f>IF(AU10="","",ROUND(AV10/AU10*100,1))</x:f>
      </x:c>
      <x:c r="AX10" s="174" t="str">
        <x:f>IF(OR(AH10="",AI10=""),"",AH10+AI10)</x:f>
      </x:c>
      <x:c r="AY10" s="174" t="str">
        <x:f>IF(AX10="","",IF(AX10&lt;30,"未达标","达到门槛"))</x:f>
      </x:c>
      <x:c r="AZ10" s="174" t="str">
        <x:f>IF(A10="","",IF(OR(O10="仅挂会无有效参与",O10="缺席"),"是","否"))</x:f>
      </x:c>
      <x:c r="BA10" s="186" t="str">
        <x:f>IF(A10="","",IF(AZ10="是",0,AW10))</x:f>
      </x:c>
      <x:c r="BB10" s="174"/>
      <x:c r="BC10" s="186"/>
      <x:c r="BD10" s="186" t="str">
        <x:f>IF(A10="","",BA10)</x:f>
      </x:c>
      <x:c r="BE10" s="161"/>
      <x:c r="BF10" s="161"/>
      <x:c r="BG10" s="161"/>
      <x:c r="BH10" s="180"/>
      <x:c r="BI10" s="183"/>
    </x:row>
    <x:row r="11" ht="32" customHeight="1">
      <x:c r="A11" s="160"/>
      <x:c r="B11" s="161"/>
      <x:c r="C11" s="161"/>
      <x:c r="D11" s="161"/>
      <x:c r="E11" s="161"/>
      <x:c r="F11" s="180"/>
      <x:c r="G11" s="161" t="str">
        <x:f>IF(F11="","","H"&amp;IF(MONTH(F11)&lt;=6,1,2))</x:f>
      </x:c>
      <x:c r="H11" s="161"/>
      <x:c r="I11" s="161"/>
      <x:c r="J11" s="161"/>
      <x:c r="K11" s="161"/>
      <x:c r="L11" s="161"/>
      <x:c r="M11" s="161"/>
      <x:c r="N11" s="161"/>
      <x:c r="O11" s="161"/>
      <x:c r="P11" s="161"/>
      <x:c r="Q11" s="161"/>
      <x:c r="R11" s="161"/>
      <x:c r="S11" s="161"/>
      <x:c r="T11" s="165"/>
      <x:c r="U11" s="165"/>
      <x:c r="V11" s="168"/>
      <x:c r="W11" s="165"/>
      <x:c r="X11" s="168"/>
      <x:c r="Y11" s="165"/>
      <x:c r="Z11" s="165"/>
      <x:c r="AA11" s="171"/>
      <x:c r="AB11" s="171"/>
      <x:c r="AC11" s="171"/>
      <x:c r="AD11" s="171"/>
      <x:c r="AE11" s="171"/>
      <x:c r="AF11" s="174" t="str">
        <x:f>IF(T11="","",IF(T11="不适用",0,IF(T11="满分档",10,IF(T11="中间档",5,0))))</x:f>
      </x:c>
      <x:c r="AG11" s="174" t="str">
        <x:f>IF(U11="","",IF(U11="不适用",0,IF(U11="满分档",30,IF(U11="中间档",15,0))))</x:f>
      </x:c>
      <x:c r="AH11" s="174" t="str">
        <x:f>IF(W11="","",IF(W11="满分档",25,IF(W11="中间档",15,0)))</x:f>
      </x:c>
      <x:c r="AI11" s="174" t="str">
        <x:f>IF(Y11="","",IF(Y11="满分档",25,IF(Y11="中间档",15,0)))</x:f>
      </x:c>
      <x:c r="AJ11" s="174" t="str">
        <x:f>IF(Z11="","",IF(Z11="不适用",0,IF(Z11="满分档",10,IF(Z11="中间档",5,0))))</x:f>
      </x:c>
      <x:c r="AK11" s="168"/>
      <x:c r="AL11" s="165"/>
      <x:c r="AM11" s="168"/>
      <x:c r="AN11" s="165"/>
      <x:c r="AO11" s="171"/>
      <x:c r="AP11" s="171"/>
      <x:c r="AQ11" s="174" t="str">
        <x:f>IF(M11&lt;&gt;"是","",IF(AL11="","",IF(AL11="突出档",10,IF(AL11="达标档",6,0))))</x:f>
      </x:c>
      <x:c r="AR11" s="174" t="str">
        <x:f>IF(M11&lt;&gt;"是","",IF(AN11="","",IF(AN11="突出档",10,IF(AN11="达标档",6,0))))</x:f>
      </x:c>
      <x:c r="AS11" s="174" t="str">
        <x:f>IF(M11&lt;&gt;"是","",IF(OR(AQ11="",AR11=""),"",SUM(AQ11:AR11)))</x:f>
      </x:c>
      <x:c r="AT11" s="174" t="str">
        <x:f>IF(M11&lt;&gt;"是","",IF(OR(AL11="",AN11=""),"",IF(OR(AL11="0分档",AN11="0分档"),"主席履职待改进",IF(AND(AL11="突出档",AN11="突出档"),"主席履职突出","主席履职合格"))))</x:f>
      </x:c>
      <x:c r="AU11" s="174" t="str">
        <x:f>IF(OR(T11="",U11="",W11="",Y11="",Z11=""),"",IF(T11="不适用",0,10)+IF(U11="不适用",0,30)+25+25+IF(Z11="不适用",0,10))</x:f>
      </x:c>
      <x:c r="AV11" s="174" t="str">
        <x:f>IF(AU11="","",SUM(AF11:AJ11))</x:f>
      </x:c>
      <x:c r="AW11" s="186" t="str">
        <x:f>IF(AU11="","",ROUND(AV11/AU11*100,1))</x:f>
      </x:c>
      <x:c r="AX11" s="174" t="str">
        <x:f>IF(OR(AH11="",AI11=""),"",AH11+AI11)</x:f>
      </x:c>
      <x:c r="AY11" s="174" t="str">
        <x:f>IF(AX11="","",IF(AX11&lt;30,"未达标","达到门槛"))</x:f>
      </x:c>
      <x:c r="AZ11" s="174" t="str">
        <x:f>IF(A11="","",IF(OR(O11="仅挂会无有效参与",O11="缺席"),"是","否"))</x:f>
      </x:c>
      <x:c r="BA11" s="186" t="str">
        <x:f>IF(A11="","",IF(AZ11="是",0,AW11))</x:f>
      </x:c>
      <x:c r="BB11" s="174"/>
      <x:c r="BC11" s="186"/>
      <x:c r="BD11" s="186" t="str">
        <x:f>IF(A11="","",BA11)</x:f>
      </x:c>
      <x:c r="BE11" s="161"/>
      <x:c r="BF11" s="161"/>
      <x:c r="BG11" s="161"/>
      <x:c r="BH11" s="180"/>
      <x:c r="BI11" s="183"/>
    </x:row>
    <x:row r="12" ht="32" customHeight="1">
      <x:c r="A12" s="160"/>
      <x:c r="B12" s="161"/>
      <x:c r="C12" s="161"/>
      <x:c r="D12" s="161"/>
      <x:c r="E12" s="161"/>
      <x:c r="F12" s="180"/>
      <x:c r="G12" s="161" t="str">
        <x:f>IF(F12="","","H"&amp;IF(MONTH(F12)&lt;=6,1,2))</x:f>
      </x:c>
      <x:c r="H12" s="161"/>
      <x:c r="I12" s="161"/>
      <x:c r="J12" s="161"/>
      <x:c r="K12" s="161"/>
      <x:c r="L12" s="161"/>
      <x:c r="M12" s="161"/>
      <x:c r="N12" s="161"/>
      <x:c r="O12" s="161"/>
      <x:c r="P12" s="161"/>
      <x:c r="Q12" s="161"/>
      <x:c r="R12" s="161"/>
      <x:c r="S12" s="161"/>
      <x:c r="T12" s="165"/>
      <x:c r="U12" s="165"/>
      <x:c r="V12" s="168"/>
      <x:c r="W12" s="165"/>
      <x:c r="X12" s="168"/>
      <x:c r="Y12" s="165"/>
      <x:c r="Z12" s="165"/>
      <x:c r="AA12" s="171"/>
      <x:c r="AB12" s="171"/>
      <x:c r="AC12" s="171"/>
      <x:c r="AD12" s="171"/>
      <x:c r="AE12" s="171"/>
      <x:c r="AF12" s="174" t="str">
        <x:f>IF(T12="","",IF(T12="不适用",0,IF(T12="满分档",10,IF(T12="中间档",5,0))))</x:f>
      </x:c>
      <x:c r="AG12" s="174" t="str">
        <x:f>IF(U12="","",IF(U12="不适用",0,IF(U12="满分档",30,IF(U12="中间档",15,0))))</x:f>
      </x:c>
      <x:c r="AH12" s="174" t="str">
        <x:f>IF(W12="","",IF(W12="满分档",25,IF(W12="中间档",15,0)))</x:f>
      </x:c>
      <x:c r="AI12" s="174" t="str">
        <x:f>IF(Y12="","",IF(Y12="满分档",25,IF(Y12="中间档",15,0)))</x:f>
      </x:c>
      <x:c r="AJ12" s="174" t="str">
        <x:f>IF(Z12="","",IF(Z12="不适用",0,IF(Z12="满分档",10,IF(Z12="中间档",5,0))))</x:f>
      </x:c>
      <x:c r="AK12" s="168"/>
      <x:c r="AL12" s="165"/>
      <x:c r="AM12" s="168"/>
      <x:c r="AN12" s="165"/>
      <x:c r="AO12" s="171"/>
      <x:c r="AP12" s="171"/>
      <x:c r="AQ12" s="174" t="str">
        <x:f>IF(M12&lt;&gt;"是","",IF(AL12="","",IF(AL12="突出档",10,IF(AL12="达标档",6,0))))</x:f>
      </x:c>
      <x:c r="AR12" s="174" t="str">
        <x:f>IF(M12&lt;&gt;"是","",IF(AN12="","",IF(AN12="突出档",10,IF(AN12="达标档",6,0))))</x:f>
      </x:c>
      <x:c r="AS12" s="174" t="str">
        <x:f>IF(M12&lt;&gt;"是","",IF(OR(AQ12="",AR12=""),"",SUM(AQ12:AR12)))</x:f>
      </x:c>
      <x:c r="AT12" s="174" t="str">
        <x:f>IF(M12&lt;&gt;"是","",IF(OR(AL12="",AN12=""),"",IF(OR(AL12="0分档",AN12="0分档"),"主席履职待改进",IF(AND(AL12="突出档",AN12="突出档"),"主席履职突出","主席履职合格"))))</x:f>
      </x:c>
      <x:c r="AU12" s="174" t="str">
        <x:f>IF(OR(T12="",U12="",W12="",Y12="",Z12=""),"",IF(T12="不适用",0,10)+IF(U12="不适用",0,30)+25+25+IF(Z12="不适用",0,10))</x:f>
      </x:c>
      <x:c r="AV12" s="174" t="str">
        <x:f>IF(AU12="","",SUM(AF12:AJ12))</x:f>
      </x:c>
      <x:c r="AW12" s="186" t="str">
        <x:f>IF(AU12="","",ROUND(AV12/AU12*100,1))</x:f>
      </x:c>
      <x:c r="AX12" s="174" t="str">
        <x:f>IF(OR(AH12="",AI12=""),"",AH12+AI12)</x:f>
      </x:c>
      <x:c r="AY12" s="174" t="str">
        <x:f>IF(AX12="","",IF(AX12&lt;30,"未达标","达到门槛"))</x:f>
      </x:c>
      <x:c r="AZ12" s="174" t="str">
        <x:f>IF(A12="","",IF(OR(O12="仅挂会无有效参与",O12="缺席"),"是","否"))</x:f>
      </x:c>
      <x:c r="BA12" s="186" t="str">
        <x:f>IF(A12="","",IF(AZ12="是",0,AW12))</x:f>
      </x:c>
      <x:c r="BB12" s="174"/>
      <x:c r="BC12" s="186"/>
      <x:c r="BD12" s="186" t="str">
        <x:f>IF(A12="","",BA12)</x:f>
      </x:c>
      <x:c r="BE12" s="161"/>
      <x:c r="BF12" s="161"/>
      <x:c r="BG12" s="161"/>
      <x:c r="BH12" s="180"/>
      <x:c r="BI12" s="183"/>
    </x:row>
    <x:row r="13" ht="32" customHeight="1">
      <x:c r="A13" s="160"/>
      <x:c r="B13" s="161"/>
      <x:c r="C13" s="161"/>
      <x:c r="D13" s="161"/>
      <x:c r="E13" s="161"/>
      <x:c r="F13" s="180"/>
      <x:c r="G13" s="161" t="str">
        <x:f>IF(F13="","","H"&amp;IF(MONTH(F13)&lt;=6,1,2))</x:f>
      </x:c>
      <x:c r="H13" s="161"/>
      <x:c r="I13" s="161"/>
      <x:c r="J13" s="161"/>
      <x:c r="K13" s="161"/>
      <x:c r="L13" s="161"/>
      <x:c r="M13" s="161"/>
      <x:c r="N13" s="161"/>
      <x:c r="O13" s="161"/>
      <x:c r="P13" s="161"/>
      <x:c r="Q13" s="161"/>
      <x:c r="R13" s="161"/>
      <x:c r="S13" s="161"/>
      <x:c r="T13" s="165"/>
      <x:c r="U13" s="165"/>
      <x:c r="V13" s="168"/>
      <x:c r="W13" s="165"/>
      <x:c r="X13" s="168"/>
      <x:c r="Y13" s="165"/>
      <x:c r="Z13" s="165"/>
      <x:c r="AA13" s="171"/>
      <x:c r="AB13" s="171"/>
      <x:c r="AC13" s="171"/>
      <x:c r="AD13" s="171"/>
      <x:c r="AE13" s="171"/>
      <x:c r="AF13" s="174" t="str">
        <x:f>IF(T13="","",IF(T13="不适用",0,IF(T13="满分档",10,IF(T13="中间档",5,0))))</x:f>
      </x:c>
      <x:c r="AG13" s="174" t="str">
        <x:f>IF(U13="","",IF(U13="不适用",0,IF(U13="满分档",30,IF(U13="中间档",15,0))))</x:f>
      </x:c>
      <x:c r="AH13" s="174" t="str">
        <x:f>IF(W13="","",IF(W13="满分档",25,IF(W13="中间档",15,0)))</x:f>
      </x:c>
      <x:c r="AI13" s="174" t="str">
        <x:f>IF(Y13="","",IF(Y13="满分档",25,IF(Y13="中间档",15,0)))</x:f>
      </x:c>
      <x:c r="AJ13" s="174" t="str">
        <x:f>IF(Z13="","",IF(Z13="不适用",0,IF(Z13="满分档",10,IF(Z13="中间档",5,0))))</x:f>
      </x:c>
      <x:c r="AK13" s="168"/>
      <x:c r="AL13" s="165"/>
      <x:c r="AM13" s="168"/>
      <x:c r="AN13" s="165"/>
      <x:c r="AO13" s="171"/>
      <x:c r="AP13" s="171"/>
      <x:c r="AQ13" s="174" t="str">
        <x:f>IF(M13&lt;&gt;"是","",IF(AL13="","",IF(AL13="突出档",10,IF(AL13="达标档",6,0))))</x:f>
      </x:c>
      <x:c r="AR13" s="174" t="str">
        <x:f>IF(M13&lt;&gt;"是","",IF(AN13="","",IF(AN13="突出档",10,IF(AN13="达标档",6,0))))</x:f>
      </x:c>
      <x:c r="AS13" s="174" t="str">
        <x:f>IF(M13&lt;&gt;"是","",IF(OR(AQ13="",AR13=""),"",SUM(AQ13:AR13)))</x:f>
      </x:c>
      <x:c r="AT13" s="174" t="str">
        <x:f>IF(M13&lt;&gt;"是","",IF(OR(AL13="",AN13=""),"",IF(OR(AL13="0分档",AN13="0分档"),"主席履职待改进",IF(AND(AL13="突出档",AN13="突出档"),"主席履职突出","主席履职合格"))))</x:f>
      </x:c>
      <x:c r="AU13" s="174" t="str">
        <x:f>IF(OR(T13="",U13="",W13="",Y13="",Z13=""),"",IF(T13="不适用",0,10)+IF(U13="不适用",0,30)+25+25+IF(Z13="不适用",0,10))</x:f>
      </x:c>
      <x:c r="AV13" s="174" t="str">
        <x:f>IF(AU13="","",SUM(AF13:AJ13))</x:f>
      </x:c>
      <x:c r="AW13" s="186" t="str">
        <x:f>IF(AU13="","",ROUND(AV13/AU13*100,1))</x:f>
      </x:c>
      <x:c r="AX13" s="174" t="str">
        <x:f>IF(OR(AH13="",AI13=""),"",AH13+AI13)</x:f>
      </x:c>
      <x:c r="AY13" s="174" t="str">
        <x:f>IF(AX13="","",IF(AX13&lt;30,"未达标","达到门槛"))</x:f>
      </x:c>
      <x:c r="AZ13" s="174" t="str">
        <x:f>IF(A13="","",IF(OR(O13="仅挂会无有效参与",O13="缺席"),"是","否"))</x:f>
      </x:c>
      <x:c r="BA13" s="186" t="str">
        <x:f>IF(A13="","",IF(AZ13="是",0,AW13))</x:f>
      </x:c>
      <x:c r="BB13" s="174"/>
      <x:c r="BC13" s="186"/>
      <x:c r="BD13" s="186" t="str">
        <x:f>IF(A13="","",BA13)</x:f>
      </x:c>
      <x:c r="BE13" s="161"/>
      <x:c r="BF13" s="161"/>
      <x:c r="BG13" s="161"/>
      <x:c r="BH13" s="180"/>
      <x:c r="BI13" s="183"/>
    </x:row>
    <x:row r="14" ht="32" customHeight="1">
      <x:c r="A14" s="160"/>
      <x:c r="B14" s="161"/>
      <x:c r="C14" s="161"/>
      <x:c r="D14" s="161"/>
      <x:c r="E14" s="161"/>
      <x:c r="F14" s="180"/>
      <x:c r="G14" s="161" t="str">
        <x:f>IF(F14="","","H"&amp;IF(MONTH(F14)&lt;=6,1,2))</x:f>
      </x:c>
      <x:c r="H14" s="161"/>
      <x:c r="I14" s="161"/>
      <x:c r="J14" s="161"/>
      <x:c r="K14" s="161"/>
      <x:c r="L14" s="161"/>
      <x:c r="M14" s="161"/>
      <x:c r="N14" s="161"/>
      <x:c r="O14" s="161"/>
      <x:c r="P14" s="161"/>
      <x:c r="Q14" s="161"/>
      <x:c r="R14" s="161"/>
      <x:c r="S14" s="161"/>
      <x:c r="T14" s="165"/>
      <x:c r="U14" s="165"/>
      <x:c r="V14" s="168"/>
      <x:c r="W14" s="165"/>
      <x:c r="X14" s="168"/>
      <x:c r="Y14" s="165"/>
      <x:c r="Z14" s="165"/>
      <x:c r="AA14" s="171"/>
      <x:c r="AB14" s="171"/>
      <x:c r="AC14" s="171"/>
      <x:c r="AD14" s="171"/>
      <x:c r="AE14" s="171"/>
      <x:c r="AF14" s="174" t="str">
        <x:f>IF(T14="","",IF(T14="不适用",0,IF(T14="满分档",10,IF(T14="中间档",5,0))))</x:f>
      </x:c>
      <x:c r="AG14" s="174" t="str">
        <x:f>IF(U14="","",IF(U14="不适用",0,IF(U14="满分档",30,IF(U14="中间档",15,0))))</x:f>
      </x:c>
      <x:c r="AH14" s="174" t="str">
        <x:f>IF(W14="","",IF(W14="满分档",25,IF(W14="中间档",15,0)))</x:f>
      </x:c>
      <x:c r="AI14" s="174" t="str">
        <x:f>IF(Y14="","",IF(Y14="满分档",25,IF(Y14="中间档",15,0)))</x:f>
      </x:c>
      <x:c r="AJ14" s="174" t="str">
        <x:f>IF(Z14="","",IF(Z14="不适用",0,IF(Z14="满分档",10,IF(Z14="中间档",5,0))))</x:f>
      </x:c>
      <x:c r="AK14" s="168"/>
      <x:c r="AL14" s="165"/>
      <x:c r="AM14" s="168"/>
      <x:c r="AN14" s="165"/>
      <x:c r="AO14" s="171"/>
      <x:c r="AP14" s="171"/>
      <x:c r="AQ14" s="174" t="str">
        <x:f>IF(M14&lt;&gt;"是","",IF(AL14="","",IF(AL14="突出档",10,IF(AL14="达标档",6,0))))</x:f>
      </x:c>
      <x:c r="AR14" s="174" t="str">
        <x:f>IF(M14&lt;&gt;"是","",IF(AN14="","",IF(AN14="突出档",10,IF(AN14="达标档",6,0))))</x:f>
      </x:c>
      <x:c r="AS14" s="174" t="str">
        <x:f>IF(M14&lt;&gt;"是","",IF(OR(AQ14="",AR14=""),"",SUM(AQ14:AR14)))</x:f>
      </x:c>
      <x:c r="AT14" s="174" t="str">
        <x:f>IF(M14&lt;&gt;"是","",IF(OR(AL14="",AN14=""),"",IF(OR(AL14="0分档",AN14="0分档"),"主席履职待改进",IF(AND(AL14="突出档",AN14="突出档"),"主席履职突出","主席履职合格"))))</x:f>
      </x:c>
      <x:c r="AU14" s="174" t="str">
        <x:f>IF(OR(T14="",U14="",W14="",Y14="",Z14=""),"",IF(T14="不适用",0,10)+IF(U14="不适用",0,30)+25+25+IF(Z14="不适用",0,10))</x:f>
      </x:c>
      <x:c r="AV14" s="174" t="str">
        <x:f>IF(AU14="","",SUM(AF14:AJ14))</x:f>
      </x:c>
      <x:c r="AW14" s="186" t="str">
        <x:f>IF(AU14="","",ROUND(AV14/AU14*100,1))</x:f>
      </x:c>
      <x:c r="AX14" s="174" t="str">
        <x:f>IF(OR(AH14="",AI14=""),"",AH14+AI14)</x:f>
      </x:c>
      <x:c r="AY14" s="174" t="str">
        <x:f>IF(AX14="","",IF(AX14&lt;30,"未达标","达到门槛"))</x:f>
      </x:c>
      <x:c r="AZ14" s="174" t="str">
        <x:f>IF(A14="","",IF(OR(O14="仅挂会无有效参与",O14="缺席"),"是","否"))</x:f>
      </x:c>
      <x:c r="BA14" s="186" t="str">
        <x:f>IF(A14="","",IF(AZ14="是",0,AW14))</x:f>
      </x:c>
      <x:c r="BB14" s="174"/>
      <x:c r="BC14" s="186"/>
      <x:c r="BD14" s="186" t="str">
        <x:f>IF(A14="","",BA14)</x:f>
      </x:c>
      <x:c r="BE14" s="161"/>
      <x:c r="BF14" s="161"/>
      <x:c r="BG14" s="161"/>
      <x:c r="BH14" s="180"/>
      <x:c r="BI14" s="183"/>
    </x:row>
    <x:row r="15" ht="32" customHeight="1">
      <x:c r="A15" s="160"/>
      <x:c r="B15" s="161"/>
      <x:c r="C15" s="161"/>
      <x:c r="D15" s="161"/>
      <x:c r="E15" s="161"/>
      <x:c r="F15" s="180"/>
      <x:c r="G15" s="161" t="str">
        <x:f>IF(F15="","","H"&amp;IF(MONTH(F15)&lt;=6,1,2))</x:f>
      </x:c>
      <x:c r="H15" s="161"/>
      <x:c r="I15" s="161"/>
      <x:c r="J15" s="161"/>
      <x:c r="K15" s="161"/>
      <x:c r="L15" s="161"/>
      <x:c r="M15" s="161"/>
      <x:c r="N15" s="161"/>
      <x:c r="O15" s="161"/>
      <x:c r="P15" s="161"/>
      <x:c r="Q15" s="161"/>
      <x:c r="R15" s="161"/>
      <x:c r="S15" s="161"/>
      <x:c r="T15" s="165"/>
      <x:c r="U15" s="165"/>
      <x:c r="V15" s="168"/>
      <x:c r="W15" s="165"/>
      <x:c r="X15" s="168"/>
      <x:c r="Y15" s="165"/>
      <x:c r="Z15" s="165"/>
      <x:c r="AA15" s="171"/>
      <x:c r="AB15" s="171"/>
      <x:c r="AC15" s="171"/>
      <x:c r="AD15" s="171"/>
      <x:c r="AE15" s="171"/>
      <x:c r="AF15" s="174" t="str">
        <x:f>IF(T15="","",IF(T15="不适用",0,IF(T15="满分档",10,IF(T15="中间档",5,0))))</x:f>
      </x:c>
      <x:c r="AG15" s="174" t="str">
        <x:f>IF(U15="","",IF(U15="不适用",0,IF(U15="满分档",30,IF(U15="中间档",15,0))))</x:f>
      </x:c>
      <x:c r="AH15" s="174" t="str">
        <x:f>IF(W15="","",IF(W15="满分档",25,IF(W15="中间档",15,0)))</x:f>
      </x:c>
      <x:c r="AI15" s="174" t="str">
        <x:f>IF(Y15="","",IF(Y15="满分档",25,IF(Y15="中间档",15,0)))</x:f>
      </x:c>
      <x:c r="AJ15" s="174" t="str">
        <x:f>IF(Z15="","",IF(Z15="不适用",0,IF(Z15="满分档",10,IF(Z15="中间档",5,0))))</x:f>
      </x:c>
      <x:c r="AK15" s="168"/>
      <x:c r="AL15" s="165"/>
      <x:c r="AM15" s="168"/>
      <x:c r="AN15" s="165"/>
      <x:c r="AO15" s="171"/>
      <x:c r="AP15" s="171"/>
      <x:c r="AQ15" s="174" t="str">
        <x:f>IF(M15&lt;&gt;"是","",IF(AL15="","",IF(AL15="突出档",10,IF(AL15="达标档",6,0))))</x:f>
      </x:c>
      <x:c r="AR15" s="174" t="str">
        <x:f>IF(M15&lt;&gt;"是","",IF(AN15="","",IF(AN15="突出档",10,IF(AN15="达标档",6,0))))</x:f>
      </x:c>
      <x:c r="AS15" s="174" t="str">
        <x:f>IF(M15&lt;&gt;"是","",IF(OR(AQ15="",AR15=""),"",SUM(AQ15:AR15)))</x:f>
      </x:c>
      <x:c r="AT15" s="174" t="str">
        <x:f>IF(M15&lt;&gt;"是","",IF(OR(AL15="",AN15=""),"",IF(OR(AL15="0分档",AN15="0分档"),"主席履职待改进",IF(AND(AL15="突出档",AN15="突出档"),"主席履职突出","主席履职合格"))))</x:f>
      </x:c>
      <x:c r="AU15" s="174" t="str">
        <x:f>IF(OR(T15="",U15="",W15="",Y15="",Z15=""),"",IF(T15="不适用",0,10)+IF(U15="不适用",0,30)+25+25+IF(Z15="不适用",0,10))</x:f>
      </x:c>
      <x:c r="AV15" s="174" t="str">
        <x:f>IF(AU15="","",SUM(AF15:AJ15))</x:f>
      </x:c>
      <x:c r="AW15" s="186" t="str">
        <x:f>IF(AU15="","",ROUND(AV15/AU15*100,1))</x:f>
      </x:c>
      <x:c r="AX15" s="174" t="str">
        <x:f>IF(OR(AH15="",AI15=""),"",AH15+AI15)</x:f>
      </x:c>
      <x:c r="AY15" s="174" t="str">
        <x:f>IF(AX15="","",IF(AX15&lt;30,"未达标","达到门槛"))</x:f>
      </x:c>
      <x:c r="AZ15" s="174" t="str">
        <x:f>IF(A15="","",IF(OR(O15="仅挂会无有效参与",O15="缺席"),"是","否"))</x:f>
      </x:c>
      <x:c r="BA15" s="186" t="str">
        <x:f>IF(A15="","",IF(AZ15="是",0,AW15))</x:f>
      </x:c>
      <x:c r="BB15" s="174"/>
      <x:c r="BC15" s="186"/>
      <x:c r="BD15" s="186" t="str">
        <x:f>IF(A15="","",BA15)</x:f>
      </x:c>
      <x:c r="BE15" s="161"/>
      <x:c r="BF15" s="161"/>
      <x:c r="BG15" s="161"/>
      <x:c r="BH15" s="180"/>
      <x:c r="BI15" s="183"/>
    </x:row>
    <x:row r="16" ht="32" customHeight="1">
      <x:c r="A16" s="160"/>
      <x:c r="B16" s="161"/>
      <x:c r="C16" s="161"/>
      <x:c r="D16" s="161"/>
      <x:c r="E16" s="161"/>
      <x:c r="F16" s="180"/>
      <x:c r="G16" s="161" t="str">
        <x:f>IF(F16="","","H"&amp;IF(MONTH(F16)&lt;=6,1,2))</x:f>
      </x:c>
      <x:c r="H16" s="161"/>
      <x:c r="I16" s="161"/>
      <x:c r="J16" s="161"/>
      <x:c r="K16" s="161"/>
      <x:c r="L16" s="161"/>
      <x:c r="M16" s="161"/>
      <x:c r="N16" s="161"/>
      <x:c r="O16" s="161"/>
      <x:c r="P16" s="161"/>
      <x:c r="Q16" s="161"/>
      <x:c r="R16" s="161"/>
      <x:c r="S16" s="161"/>
      <x:c r="T16" s="165"/>
      <x:c r="U16" s="165"/>
      <x:c r="V16" s="168"/>
      <x:c r="W16" s="165"/>
      <x:c r="X16" s="168"/>
      <x:c r="Y16" s="165"/>
      <x:c r="Z16" s="165"/>
      <x:c r="AA16" s="171"/>
      <x:c r="AB16" s="171"/>
      <x:c r="AC16" s="171"/>
      <x:c r="AD16" s="171"/>
      <x:c r="AE16" s="171"/>
      <x:c r="AF16" s="174" t="str">
        <x:f>IF(T16="","",IF(T16="不适用",0,IF(T16="满分档",10,IF(T16="中间档",5,0))))</x:f>
      </x:c>
      <x:c r="AG16" s="174" t="str">
        <x:f>IF(U16="","",IF(U16="不适用",0,IF(U16="满分档",30,IF(U16="中间档",15,0))))</x:f>
      </x:c>
      <x:c r="AH16" s="174" t="str">
        <x:f>IF(W16="","",IF(W16="满分档",25,IF(W16="中间档",15,0)))</x:f>
      </x:c>
      <x:c r="AI16" s="174" t="str">
        <x:f>IF(Y16="","",IF(Y16="满分档",25,IF(Y16="中间档",15,0)))</x:f>
      </x:c>
      <x:c r="AJ16" s="174" t="str">
        <x:f>IF(Z16="","",IF(Z16="不适用",0,IF(Z16="满分档",10,IF(Z16="中间档",5,0))))</x:f>
      </x:c>
      <x:c r="AK16" s="168"/>
      <x:c r="AL16" s="165"/>
      <x:c r="AM16" s="168"/>
      <x:c r="AN16" s="165"/>
      <x:c r="AO16" s="171"/>
      <x:c r="AP16" s="171"/>
      <x:c r="AQ16" s="174" t="str">
        <x:f>IF(M16&lt;&gt;"是","",IF(AL16="","",IF(AL16="突出档",10,IF(AL16="达标档",6,0))))</x:f>
      </x:c>
      <x:c r="AR16" s="174" t="str">
        <x:f>IF(M16&lt;&gt;"是","",IF(AN16="","",IF(AN16="突出档",10,IF(AN16="达标档",6,0))))</x:f>
      </x:c>
      <x:c r="AS16" s="174" t="str">
        <x:f>IF(M16&lt;&gt;"是","",IF(OR(AQ16="",AR16=""),"",SUM(AQ16:AR16)))</x:f>
      </x:c>
      <x:c r="AT16" s="174" t="str">
        <x:f>IF(M16&lt;&gt;"是","",IF(OR(AL16="",AN16=""),"",IF(OR(AL16="0分档",AN16="0分档"),"主席履职待改进",IF(AND(AL16="突出档",AN16="突出档"),"主席履职突出","主席履职合格"))))</x:f>
      </x:c>
      <x:c r="AU16" s="174" t="str">
        <x:f>IF(OR(T16="",U16="",W16="",Y16="",Z16=""),"",IF(T16="不适用",0,10)+IF(U16="不适用",0,30)+25+25+IF(Z16="不适用",0,10))</x:f>
      </x:c>
      <x:c r="AV16" s="174" t="str">
        <x:f>IF(AU16="","",SUM(AF16:AJ16))</x:f>
      </x:c>
      <x:c r="AW16" s="186" t="str">
        <x:f>IF(AU16="","",ROUND(AV16/AU16*100,1))</x:f>
      </x:c>
      <x:c r="AX16" s="174" t="str">
        <x:f>IF(OR(AH16="",AI16=""),"",AH16+AI16)</x:f>
      </x:c>
      <x:c r="AY16" s="174" t="str">
        <x:f>IF(AX16="","",IF(AX16&lt;30,"未达标","达到门槛"))</x:f>
      </x:c>
      <x:c r="AZ16" s="174" t="str">
        <x:f>IF(A16="","",IF(OR(O16="仅挂会无有效参与",O16="缺席"),"是","否"))</x:f>
      </x:c>
      <x:c r="BA16" s="186" t="str">
        <x:f>IF(A16="","",IF(AZ16="是",0,AW16))</x:f>
      </x:c>
      <x:c r="BB16" s="174"/>
      <x:c r="BC16" s="186"/>
      <x:c r="BD16" s="186" t="str">
        <x:f>IF(A16="","",BA16)</x:f>
      </x:c>
      <x:c r="BE16" s="161"/>
      <x:c r="BF16" s="161"/>
      <x:c r="BG16" s="161"/>
      <x:c r="BH16" s="180"/>
      <x:c r="BI16" s="183"/>
    </x:row>
    <x:row r="17" ht="32" customHeight="1">
      <x:c r="A17" s="160"/>
      <x:c r="B17" s="161"/>
      <x:c r="C17" s="161"/>
      <x:c r="D17" s="161"/>
      <x:c r="E17" s="161"/>
      <x:c r="F17" s="180"/>
      <x:c r="G17" s="161" t="str">
        <x:f>IF(F17="","","H"&amp;IF(MONTH(F17)&lt;=6,1,2))</x:f>
      </x:c>
      <x:c r="H17" s="161"/>
      <x:c r="I17" s="161"/>
      <x:c r="J17" s="161"/>
      <x:c r="K17" s="161"/>
      <x:c r="L17" s="161"/>
      <x:c r="M17" s="161"/>
      <x:c r="N17" s="161"/>
      <x:c r="O17" s="161"/>
      <x:c r="P17" s="161"/>
      <x:c r="Q17" s="161"/>
      <x:c r="R17" s="161"/>
      <x:c r="S17" s="161"/>
      <x:c r="T17" s="165"/>
      <x:c r="U17" s="165"/>
      <x:c r="V17" s="168"/>
      <x:c r="W17" s="165"/>
      <x:c r="X17" s="168"/>
      <x:c r="Y17" s="165"/>
      <x:c r="Z17" s="165"/>
      <x:c r="AA17" s="171"/>
      <x:c r="AB17" s="171"/>
      <x:c r="AC17" s="171"/>
      <x:c r="AD17" s="171"/>
      <x:c r="AE17" s="171"/>
      <x:c r="AF17" s="174" t="str">
        <x:f>IF(T17="","",IF(T17="不适用",0,IF(T17="满分档",10,IF(T17="中间档",5,0))))</x:f>
      </x:c>
      <x:c r="AG17" s="174" t="str">
        <x:f>IF(U17="","",IF(U17="不适用",0,IF(U17="满分档",30,IF(U17="中间档",15,0))))</x:f>
      </x:c>
      <x:c r="AH17" s="174" t="str">
        <x:f>IF(W17="","",IF(W17="满分档",25,IF(W17="中间档",15,0)))</x:f>
      </x:c>
      <x:c r="AI17" s="174" t="str">
        <x:f>IF(Y17="","",IF(Y17="满分档",25,IF(Y17="中间档",15,0)))</x:f>
      </x:c>
      <x:c r="AJ17" s="174" t="str">
        <x:f>IF(Z17="","",IF(Z17="不适用",0,IF(Z17="满分档",10,IF(Z17="中间档",5,0))))</x:f>
      </x:c>
      <x:c r="AK17" s="168"/>
      <x:c r="AL17" s="165"/>
      <x:c r="AM17" s="168"/>
      <x:c r="AN17" s="165"/>
      <x:c r="AO17" s="171"/>
      <x:c r="AP17" s="171"/>
      <x:c r="AQ17" s="174" t="str">
        <x:f>IF(M17&lt;&gt;"是","",IF(AL17="","",IF(AL17="突出档",10,IF(AL17="达标档",6,0))))</x:f>
      </x:c>
      <x:c r="AR17" s="174" t="str">
        <x:f>IF(M17&lt;&gt;"是","",IF(AN17="","",IF(AN17="突出档",10,IF(AN17="达标档",6,0))))</x:f>
      </x:c>
      <x:c r="AS17" s="174" t="str">
        <x:f>IF(M17&lt;&gt;"是","",IF(OR(AQ17="",AR17=""),"",SUM(AQ17:AR17)))</x:f>
      </x:c>
      <x:c r="AT17" s="174" t="str">
        <x:f>IF(M17&lt;&gt;"是","",IF(OR(AL17="",AN17=""),"",IF(OR(AL17="0分档",AN17="0分档"),"主席履职待改进",IF(AND(AL17="突出档",AN17="突出档"),"主席履职突出","主席履职合格"))))</x:f>
      </x:c>
      <x:c r="AU17" s="174" t="str">
        <x:f>IF(OR(T17="",U17="",W17="",Y17="",Z17=""),"",IF(T17="不适用",0,10)+IF(U17="不适用",0,30)+25+25+IF(Z17="不适用",0,10))</x:f>
      </x:c>
      <x:c r="AV17" s="174" t="str">
        <x:f>IF(AU17="","",SUM(AF17:AJ17))</x:f>
      </x:c>
      <x:c r="AW17" s="186" t="str">
        <x:f>IF(AU17="","",ROUND(AV17/AU17*100,1))</x:f>
      </x:c>
      <x:c r="AX17" s="174" t="str">
        <x:f>IF(OR(AH17="",AI17=""),"",AH17+AI17)</x:f>
      </x:c>
      <x:c r="AY17" s="174" t="str">
        <x:f>IF(AX17="","",IF(AX17&lt;30,"未达标","达到门槛"))</x:f>
      </x:c>
      <x:c r="AZ17" s="174" t="str">
        <x:f>IF(A17="","",IF(OR(O17="仅挂会无有效参与",O17="缺席"),"是","否"))</x:f>
      </x:c>
      <x:c r="BA17" s="186" t="str">
        <x:f>IF(A17="","",IF(AZ17="是",0,AW17))</x:f>
      </x:c>
      <x:c r="BB17" s="174"/>
      <x:c r="BC17" s="186"/>
      <x:c r="BD17" s="186" t="str">
        <x:f>IF(A17="","",BA17)</x:f>
      </x:c>
      <x:c r="BE17" s="161"/>
      <x:c r="BF17" s="161"/>
      <x:c r="BG17" s="161"/>
      <x:c r="BH17" s="180"/>
      <x:c r="BI17" s="183"/>
    </x:row>
    <x:row r="18" ht="32" customHeight="1">
      <x:c r="A18" s="160"/>
      <x:c r="B18" s="161"/>
      <x:c r="C18" s="161"/>
      <x:c r="D18" s="161"/>
      <x:c r="E18" s="161"/>
      <x:c r="F18" s="180"/>
      <x:c r="G18" s="161" t="str">
        <x:f>IF(F18="","","H"&amp;IF(MONTH(F18)&lt;=6,1,2))</x:f>
      </x:c>
      <x:c r="H18" s="161"/>
      <x:c r="I18" s="161"/>
      <x:c r="J18" s="161"/>
      <x:c r="K18" s="161"/>
      <x:c r="L18" s="161"/>
      <x:c r="M18" s="161"/>
      <x:c r="N18" s="161"/>
      <x:c r="O18" s="161"/>
      <x:c r="P18" s="161"/>
      <x:c r="Q18" s="161"/>
      <x:c r="R18" s="161"/>
      <x:c r="S18" s="161"/>
      <x:c r="T18" s="165"/>
      <x:c r="U18" s="165"/>
      <x:c r="V18" s="168"/>
      <x:c r="W18" s="165"/>
      <x:c r="X18" s="168"/>
      <x:c r="Y18" s="165"/>
      <x:c r="Z18" s="165"/>
      <x:c r="AA18" s="171"/>
      <x:c r="AB18" s="171"/>
      <x:c r="AC18" s="171"/>
      <x:c r="AD18" s="171"/>
      <x:c r="AE18" s="171"/>
      <x:c r="AF18" s="174" t="str">
        <x:f>IF(T18="","",IF(T18="不适用",0,IF(T18="满分档",10,IF(T18="中间档",5,0))))</x:f>
      </x:c>
      <x:c r="AG18" s="174" t="str">
        <x:f>IF(U18="","",IF(U18="不适用",0,IF(U18="满分档",30,IF(U18="中间档",15,0))))</x:f>
      </x:c>
      <x:c r="AH18" s="174" t="str">
        <x:f>IF(W18="","",IF(W18="满分档",25,IF(W18="中间档",15,0)))</x:f>
      </x:c>
      <x:c r="AI18" s="174" t="str">
        <x:f>IF(Y18="","",IF(Y18="满分档",25,IF(Y18="中间档",15,0)))</x:f>
      </x:c>
      <x:c r="AJ18" s="174" t="str">
        <x:f>IF(Z18="","",IF(Z18="不适用",0,IF(Z18="满分档",10,IF(Z18="中间档",5,0))))</x:f>
      </x:c>
      <x:c r="AK18" s="168"/>
      <x:c r="AL18" s="165"/>
      <x:c r="AM18" s="168"/>
      <x:c r="AN18" s="165"/>
      <x:c r="AO18" s="171"/>
      <x:c r="AP18" s="171"/>
      <x:c r="AQ18" s="174" t="str">
        <x:f>IF(M18&lt;&gt;"是","",IF(AL18="","",IF(AL18="突出档",10,IF(AL18="达标档",6,0))))</x:f>
      </x:c>
      <x:c r="AR18" s="174" t="str">
        <x:f>IF(M18&lt;&gt;"是","",IF(AN18="","",IF(AN18="突出档",10,IF(AN18="达标档",6,0))))</x:f>
      </x:c>
      <x:c r="AS18" s="174" t="str">
        <x:f>IF(M18&lt;&gt;"是","",IF(OR(AQ18="",AR18=""),"",SUM(AQ18:AR18)))</x:f>
      </x:c>
      <x:c r="AT18" s="174" t="str">
        <x:f>IF(M18&lt;&gt;"是","",IF(OR(AL18="",AN18=""),"",IF(OR(AL18="0分档",AN18="0分档"),"主席履职待改进",IF(AND(AL18="突出档",AN18="突出档"),"主席履职突出","主席履职合格"))))</x:f>
      </x:c>
      <x:c r="AU18" s="174" t="str">
        <x:f>IF(OR(T18="",U18="",W18="",Y18="",Z18=""),"",IF(T18="不适用",0,10)+IF(U18="不适用",0,30)+25+25+IF(Z18="不适用",0,10))</x:f>
      </x:c>
      <x:c r="AV18" s="174" t="str">
        <x:f>IF(AU18="","",SUM(AF18:AJ18))</x:f>
      </x:c>
      <x:c r="AW18" s="186" t="str">
        <x:f>IF(AU18="","",ROUND(AV18/AU18*100,1))</x:f>
      </x:c>
      <x:c r="AX18" s="174" t="str">
        <x:f>IF(OR(AH18="",AI18=""),"",AH18+AI18)</x:f>
      </x:c>
      <x:c r="AY18" s="174" t="str">
        <x:f>IF(AX18="","",IF(AX18&lt;30,"未达标","达到门槛"))</x:f>
      </x:c>
      <x:c r="AZ18" s="174" t="str">
        <x:f>IF(A18="","",IF(OR(O18="仅挂会无有效参与",O18="缺席"),"是","否"))</x:f>
      </x:c>
      <x:c r="BA18" s="186" t="str">
        <x:f>IF(A18="","",IF(AZ18="是",0,AW18))</x:f>
      </x:c>
      <x:c r="BB18" s="174"/>
      <x:c r="BC18" s="186"/>
      <x:c r="BD18" s="186" t="str">
        <x:f>IF(A18="","",BA18)</x:f>
      </x:c>
      <x:c r="BE18" s="161"/>
      <x:c r="BF18" s="161"/>
      <x:c r="BG18" s="161"/>
      <x:c r="BH18" s="180"/>
      <x:c r="BI18" s="183"/>
    </x:row>
    <x:row r="19" ht="32" customHeight="1">
      <x:c r="A19" s="160"/>
      <x:c r="B19" s="161"/>
      <x:c r="C19" s="161"/>
      <x:c r="D19" s="161"/>
      <x:c r="E19" s="161"/>
      <x:c r="F19" s="180"/>
      <x:c r="G19" s="161" t="str">
        <x:f>IF(F19="","","H"&amp;IF(MONTH(F19)&lt;=6,1,2))</x:f>
      </x:c>
      <x:c r="H19" s="161"/>
      <x:c r="I19" s="161"/>
      <x:c r="J19" s="161"/>
      <x:c r="K19" s="161"/>
      <x:c r="L19" s="161"/>
      <x:c r="M19" s="161"/>
      <x:c r="N19" s="161"/>
      <x:c r="O19" s="161"/>
      <x:c r="P19" s="161"/>
      <x:c r="Q19" s="161"/>
      <x:c r="R19" s="161"/>
      <x:c r="S19" s="161"/>
      <x:c r="T19" s="165"/>
      <x:c r="U19" s="165"/>
      <x:c r="V19" s="168"/>
      <x:c r="W19" s="165"/>
      <x:c r="X19" s="168"/>
      <x:c r="Y19" s="165"/>
      <x:c r="Z19" s="165"/>
      <x:c r="AA19" s="171"/>
      <x:c r="AB19" s="171"/>
      <x:c r="AC19" s="171"/>
      <x:c r="AD19" s="171"/>
      <x:c r="AE19" s="171"/>
      <x:c r="AF19" s="174" t="str">
        <x:f>IF(T19="","",IF(T19="不适用",0,IF(T19="满分档",10,IF(T19="中间档",5,0))))</x:f>
      </x:c>
      <x:c r="AG19" s="174" t="str">
        <x:f>IF(U19="","",IF(U19="不适用",0,IF(U19="满分档",30,IF(U19="中间档",15,0))))</x:f>
      </x:c>
      <x:c r="AH19" s="174" t="str">
        <x:f>IF(W19="","",IF(W19="满分档",25,IF(W19="中间档",15,0)))</x:f>
      </x:c>
      <x:c r="AI19" s="174" t="str">
        <x:f>IF(Y19="","",IF(Y19="满分档",25,IF(Y19="中间档",15,0)))</x:f>
      </x:c>
      <x:c r="AJ19" s="174" t="str">
        <x:f>IF(Z19="","",IF(Z19="不适用",0,IF(Z19="满分档",10,IF(Z19="中间档",5,0))))</x:f>
      </x:c>
      <x:c r="AK19" s="168"/>
      <x:c r="AL19" s="165"/>
      <x:c r="AM19" s="168"/>
      <x:c r="AN19" s="165"/>
      <x:c r="AO19" s="171"/>
      <x:c r="AP19" s="171"/>
      <x:c r="AQ19" s="174" t="str">
        <x:f>IF(M19&lt;&gt;"是","",IF(AL19="","",IF(AL19="突出档",10,IF(AL19="达标档",6,0))))</x:f>
      </x:c>
      <x:c r="AR19" s="174" t="str">
        <x:f>IF(M19&lt;&gt;"是","",IF(AN19="","",IF(AN19="突出档",10,IF(AN19="达标档",6,0))))</x:f>
      </x:c>
      <x:c r="AS19" s="174" t="str">
        <x:f>IF(M19&lt;&gt;"是","",IF(OR(AQ19="",AR19=""),"",SUM(AQ19:AR19)))</x:f>
      </x:c>
      <x:c r="AT19" s="174" t="str">
        <x:f>IF(M19&lt;&gt;"是","",IF(OR(AL19="",AN19=""),"",IF(OR(AL19="0分档",AN19="0分档"),"主席履职待改进",IF(AND(AL19="突出档",AN19="突出档"),"主席履职突出","主席履职合格"))))</x:f>
      </x:c>
      <x:c r="AU19" s="174" t="str">
        <x:f>IF(OR(T19="",U19="",W19="",Y19="",Z19=""),"",IF(T19="不适用",0,10)+IF(U19="不适用",0,30)+25+25+IF(Z19="不适用",0,10))</x:f>
      </x:c>
      <x:c r="AV19" s="174" t="str">
        <x:f>IF(AU19="","",SUM(AF19:AJ19))</x:f>
      </x:c>
      <x:c r="AW19" s="186" t="str">
        <x:f>IF(AU19="","",ROUND(AV19/AU19*100,1))</x:f>
      </x:c>
      <x:c r="AX19" s="174" t="str">
        <x:f>IF(OR(AH19="",AI19=""),"",AH19+AI19)</x:f>
      </x:c>
      <x:c r="AY19" s="174" t="str">
        <x:f>IF(AX19="","",IF(AX19&lt;30,"未达标","达到门槛"))</x:f>
      </x:c>
      <x:c r="AZ19" s="174" t="str">
        <x:f>IF(A19="","",IF(OR(O19="仅挂会无有效参与",O19="缺席"),"是","否"))</x:f>
      </x:c>
      <x:c r="BA19" s="186" t="str">
        <x:f>IF(A19="","",IF(AZ19="是",0,AW19))</x:f>
      </x:c>
      <x:c r="BB19" s="174"/>
      <x:c r="BC19" s="186"/>
      <x:c r="BD19" s="186" t="str">
        <x:f>IF(A19="","",BA19)</x:f>
      </x:c>
      <x:c r="BE19" s="161"/>
      <x:c r="BF19" s="161"/>
      <x:c r="BG19" s="161"/>
      <x:c r="BH19" s="180"/>
      <x:c r="BI19" s="183"/>
    </x:row>
    <x:row r="20" ht="32" customHeight="1">
      <x:c r="A20" s="160"/>
      <x:c r="B20" s="161"/>
      <x:c r="C20" s="161"/>
      <x:c r="D20" s="161"/>
      <x:c r="E20" s="161"/>
      <x:c r="F20" s="180"/>
      <x:c r="G20" s="161" t="str">
        <x:f>IF(F20="","","H"&amp;IF(MONTH(F20)&lt;=6,1,2))</x:f>
      </x:c>
      <x:c r="H20" s="161"/>
      <x:c r="I20" s="161"/>
      <x:c r="J20" s="161"/>
      <x:c r="K20" s="161"/>
      <x:c r="L20" s="161"/>
      <x:c r="M20" s="161"/>
      <x:c r="N20" s="161"/>
      <x:c r="O20" s="161"/>
      <x:c r="P20" s="161"/>
      <x:c r="Q20" s="161"/>
      <x:c r="R20" s="161"/>
      <x:c r="S20" s="161"/>
      <x:c r="T20" s="165"/>
      <x:c r="U20" s="165"/>
      <x:c r="V20" s="168"/>
      <x:c r="W20" s="165"/>
      <x:c r="X20" s="168"/>
      <x:c r="Y20" s="165"/>
      <x:c r="Z20" s="165"/>
      <x:c r="AA20" s="171"/>
      <x:c r="AB20" s="171"/>
      <x:c r="AC20" s="171"/>
      <x:c r="AD20" s="171"/>
      <x:c r="AE20" s="171"/>
      <x:c r="AF20" s="174" t="str">
        <x:f>IF(T20="","",IF(T20="不适用",0,IF(T20="满分档",10,IF(T20="中间档",5,0))))</x:f>
      </x:c>
      <x:c r="AG20" s="174" t="str">
        <x:f>IF(U20="","",IF(U20="不适用",0,IF(U20="满分档",30,IF(U20="中间档",15,0))))</x:f>
      </x:c>
      <x:c r="AH20" s="174" t="str">
        <x:f>IF(W20="","",IF(W20="满分档",25,IF(W20="中间档",15,0)))</x:f>
      </x:c>
      <x:c r="AI20" s="174" t="str">
        <x:f>IF(Y20="","",IF(Y20="满分档",25,IF(Y20="中间档",15,0)))</x:f>
      </x:c>
      <x:c r="AJ20" s="174" t="str">
        <x:f>IF(Z20="","",IF(Z20="不适用",0,IF(Z20="满分档",10,IF(Z20="中间档",5,0))))</x:f>
      </x:c>
      <x:c r="AK20" s="168"/>
      <x:c r="AL20" s="165"/>
      <x:c r="AM20" s="168"/>
      <x:c r="AN20" s="165"/>
      <x:c r="AO20" s="171"/>
      <x:c r="AP20" s="171"/>
      <x:c r="AQ20" s="174" t="str">
        <x:f>IF(M20&lt;&gt;"是","",IF(AL20="","",IF(AL20="突出档",10,IF(AL20="达标档",6,0))))</x:f>
      </x:c>
      <x:c r="AR20" s="174" t="str">
        <x:f>IF(M20&lt;&gt;"是","",IF(AN20="","",IF(AN20="突出档",10,IF(AN20="达标档",6,0))))</x:f>
      </x:c>
      <x:c r="AS20" s="174" t="str">
        <x:f>IF(M20&lt;&gt;"是","",IF(OR(AQ20="",AR20=""),"",SUM(AQ20:AR20)))</x:f>
      </x:c>
      <x:c r="AT20" s="174" t="str">
        <x:f>IF(M20&lt;&gt;"是","",IF(OR(AL20="",AN20=""),"",IF(OR(AL20="0分档",AN20="0分档"),"主席履职待改进",IF(AND(AL20="突出档",AN20="突出档"),"主席履职突出","主席履职合格"))))</x:f>
      </x:c>
      <x:c r="AU20" s="174" t="str">
        <x:f>IF(OR(T20="",U20="",W20="",Y20="",Z20=""),"",IF(T20="不适用",0,10)+IF(U20="不适用",0,30)+25+25+IF(Z20="不适用",0,10))</x:f>
      </x:c>
      <x:c r="AV20" s="174" t="str">
        <x:f>IF(AU20="","",SUM(AF20:AJ20))</x:f>
      </x:c>
      <x:c r="AW20" s="186" t="str">
        <x:f>IF(AU20="","",ROUND(AV20/AU20*100,1))</x:f>
      </x:c>
      <x:c r="AX20" s="174" t="str">
        <x:f>IF(OR(AH20="",AI20=""),"",AH20+AI20)</x:f>
      </x:c>
      <x:c r="AY20" s="174" t="str">
        <x:f>IF(AX20="","",IF(AX20&lt;30,"未达标","达到门槛"))</x:f>
      </x:c>
      <x:c r="AZ20" s="174" t="str">
        <x:f>IF(A20="","",IF(OR(O20="仅挂会无有效参与",O20="缺席"),"是","否"))</x:f>
      </x:c>
      <x:c r="BA20" s="186" t="str">
        <x:f>IF(A20="","",IF(AZ20="是",0,AW20))</x:f>
      </x:c>
      <x:c r="BB20" s="174"/>
      <x:c r="BC20" s="186"/>
      <x:c r="BD20" s="186" t="str">
        <x:f>IF(A20="","",BA20)</x:f>
      </x:c>
      <x:c r="BE20" s="161"/>
      <x:c r="BF20" s="161"/>
      <x:c r="BG20" s="161"/>
      <x:c r="BH20" s="180"/>
      <x:c r="BI20" s="183"/>
    </x:row>
    <x:row r="21" ht="32" customHeight="1">
      <x:c r="A21" s="160"/>
      <x:c r="B21" s="161"/>
      <x:c r="C21" s="161"/>
      <x:c r="D21" s="161"/>
      <x:c r="E21" s="161"/>
      <x:c r="F21" s="180"/>
      <x:c r="G21" s="161" t="str">
        <x:f>IF(F21="","","H"&amp;IF(MONTH(F21)&lt;=6,1,2))</x:f>
      </x:c>
      <x:c r="H21" s="161"/>
      <x:c r="I21" s="161"/>
      <x:c r="J21" s="161"/>
      <x:c r="K21" s="161"/>
      <x:c r="L21" s="161"/>
      <x:c r="M21" s="161"/>
      <x:c r="N21" s="161"/>
      <x:c r="O21" s="161"/>
      <x:c r="P21" s="161"/>
      <x:c r="Q21" s="161"/>
      <x:c r="R21" s="161"/>
      <x:c r="S21" s="161"/>
      <x:c r="T21" s="165"/>
      <x:c r="U21" s="165"/>
      <x:c r="V21" s="168"/>
      <x:c r="W21" s="165"/>
      <x:c r="X21" s="168"/>
      <x:c r="Y21" s="165"/>
      <x:c r="Z21" s="165"/>
      <x:c r="AA21" s="171"/>
      <x:c r="AB21" s="171"/>
      <x:c r="AC21" s="171"/>
      <x:c r="AD21" s="171"/>
      <x:c r="AE21" s="171"/>
      <x:c r="AF21" s="174" t="str">
        <x:f>IF(T21="","",IF(T21="不适用",0,IF(T21="满分档",10,IF(T21="中间档",5,0))))</x:f>
      </x:c>
      <x:c r="AG21" s="174" t="str">
        <x:f>IF(U21="","",IF(U21="不适用",0,IF(U21="满分档",30,IF(U21="中间档",15,0))))</x:f>
      </x:c>
      <x:c r="AH21" s="174" t="str">
        <x:f>IF(W21="","",IF(W21="满分档",25,IF(W21="中间档",15,0)))</x:f>
      </x:c>
      <x:c r="AI21" s="174" t="str">
        <x:f>IF(Y21="","",IF(Y21="满分档",25,IF(Y21="中间档",15,0)))</x:f>
      </x:c>
      <x:c r="AJ21" s="174" t="str">
        <x:f>IF(Z21="","",IF(Z21="不适用",0,IF(Z21="满分档",10,IF(Z21="中间档",5,0))))</x:f>
      </x:c>
      <x:c r="AK21" s="168"/>
      <x:c r="AL21" s="165"/>
      <x:c r="AM21" s="168"/>
      <x:c r="AN21" s="165"/>
      <x:c r="AO21" s="171"/>
      <x:c r="AP21" s="171"/>
      <x:c r="AQ21" s="174" t="str">
        <x:f>IF(M21&lt;&gt;"是","",IF(AL21="","",IF(AL21="突出档",10,IF(AL21="达标档",6,0))))</x:f>
      </x:c>
      <x:c r="AR21" s="174" t="str">
        <x:f>IF(M21&lt;&gt;"是","",IF(AN21="","",IF(AN21="突出档",10,IF(AN21="达标档",6,0))))</x:f>
      </x:c>
      <x:c r="AS21" s="174" t="str">
        <x:f>IF(M21&lt;&gt;"是","",IF(OR(AQ21="",AR21=""),"",SUM(AQ21:AR21)))</x:f>
      </x:c>
      <x:c r="AT21" s="174" t="str">
        <x:f>IF(M21&lt;&gt;"是","",IF(OR(AL21="",AN21=""),"",IF(OR(AL21="0分档",AN21="0分档"),"主席履职待改进",IF(AND(AL21="突出档",AN21="突出档"),"主席履职突出","主席履职合格"))))</x:f>
      </x:c>
      <x:c r="AU21" s="174" t="str">
        <x:f>IF(OR(T21="",U21="",W21="",Y21="",Z21=""),"",IF(T21="不适用",0,10)+IF(U21="不适用",0,30)+25+25+IF(Z21="不适用",0,10))</x:f>
      </x:c>
      <x:c r="AV21" s="174" t="str">
        <x:f>IF(AU21="","",SUM(AF21:AJ21))</x:f>
      </x:c>
      <x:c r="AW21" s="186" t="str">
        <x:f>IF(AU21="","",ROUND(AV21/AU21*100,1))</x:f>
      </x:c>
      <x:c r="AX21" s="174" t="str">
        <x:f>IF(OR(AH21="",AI21=""),"",AH21+AI21)</x:f>
      </x:c>
      <x:c r="AY21" s="174" t="str">
        <x:f>IF(AX21="","",IF(AX21&lt;30,"未达标","达到门槛"))</x:f>
      </x:c>
      <x:c r="AZ21" s="174" t="str">
        <x:f>IF(A21="","",IF(OR(O21="仅挂会无有效参与",O21="缺席"),"是","否"))</x:f>
      </x:c>
      <x:c r="BA21" s="186" t="str">
        <x:f>IF(A21="","",IF(AZ21="是",0,AW21))</x:f>
      </x:c>
      <x:c r="BB21" s="174"/>
      <x:c r="BC21" s="186"/>
      <x:c r="BD21" s="186" t="str">
        <x:f>IF(A21="","",BA21)</x:f>
      </x:c>
      <x:c r="BE21" s="161"/>
      <x:c r="BF21" s="161"/>
      <x:c r="BG21" s="161"/>
      <x:c r="BH21" s="180"/>
      <x:c r="BI21" s="183"/>
    </x:row>
    <x:row r="22" ht="32" customHeight="1">
      <x:c r="A22" s="160"/>
      <x:c r="B22" s="161"/>
      <x:c r="C22" s="161"/>
      <x:c r="D22" s="161"/>
      <x:c r="E22" s="161"/>
      <x:c r="F22" s="180"/>
      <x:c r="G22" s="161" t="str">
        <x:f>IF(F22="","","H"&amp;IF(MONTH(F22)&lt;=6,1,2))</x:f>
      </x:c>
      <x:c r="H22" s="161"/>
      <x:c r="I22" s="161"/>
      <x:c r="J22" s="161"/>
      <x:c r="K22" s="161"/>
      <x:c r="L22" s="161"/>
      <x:c r="M22" s="161"/>
      <x:c r="N22" s="161"/>
      <x:c r="O22" s="161"/>
      <x:c r="P22" s="161"/>
      <x:c r="Q22" s="161"/>
      <x:c r="R22" s="161"/>
      <x:c r="S22" s="161"/>
      <x:c r="T22" s="165"/>
      <x:c r="U22" s="165"/>
      <x:c r="V22" s="168"/>
      <x:c r="W22" s="165"/>
      <x:c r="X22" s="168"/>
      <x:c r="Y22" s="165"/>
      <x:c r="Z22" s="165"/>
      <x:c r="AA22" s="171"/>
      <x:c r="AB22" s="171"/>
      <x:c r="AC22" s="171"/>
      <x:c r="AD22" s="171"/>
      <x:c r="AE22" s="171"/>
      <x:c r="AF22" s="174" t="str">
        <x:f>IF(T22="","",IF(T22="不适用",0,IF(T22="满分档",10,IF(T22="中间档",5,0))))</x:f>
      </x:c>
      <x:c r="AG22" s="174" t="str">
        <x:f>IF(U22="","",IF(U22="不适用",0,IF(U22="满分档",30,IF(U22="中间档",15,0))))</x:f>
      </x:c>
      <x:c r="AH22" s="174" t="str">
        <x:f>IF(W22="","",IF(W22="满分档",25,IF(W22="中间档",15,0)))</x:f>
      </x:c>
      <x:c r="AI22" s="174" t="str">
        <x:f>IF(Y22="","",IF(Y22="满分档",25,IF(Y22="中间档",15,0)))</x:f>
      </x:c>
      <x:c r="AJ22" s="174" t="str">
        <x:f>IF(Z22="","",IF(Z22="不适用",0,IF(Z22="满分档",10,IF(Z22="中间档",5,0))))</x:f>
      </x:c>
      <x:c r="AK22" s="168"/>
      <x:c r="AL22" s="165"/>
      <x:c r="AM22" s="168"/>
      <x:c r="AN22" s="165"/>
      <x:c r="AO22" s="171"/>
      <x:c r="AP22" s="171"/>
      <x:c r="AQ22" s="174" t="str">
        <x:f>IF(M22&lt;&gt;"是","",IF(AL22="","",IF(AL22="突出档",10,IF(AL22="达标档",6,0))))</x:f>
      </x:c>
      <x:c r="AR22" s="174" t="str">
        <x:f>IF(M22&lt;&gt;"是","",IF(AN22="","",IF(AN22="突出档",10,IF(AN22="达标档",6,0))))</x:f>
      </x:c>
      <x:c r="AS22" s="174" t="str">
        <x:f>IF(M22&lt;&gt;"是","",IF(OR(AQ22="",AR22=""),"",SUM(AQ22:AR22)))</x:f>
      </x:c>
      <x:c r="AT22" s="174" t="str">
        <x:f>IF(M22&lt;&gt;"是","",IF(OR(AL22="",AN22=""),"",IF(OR(AL22="0分档",AN22="0分档"),"主席履职待改进",IF(AND(AL22="突出档",AN22="突出档"),"主席履职突出","主席履职合格"))))</x:f>
      </x:c>
      <x:c r="AU22" s="174" t="str">
        <x:f>IF(OR(T22="",U22="",W22="",Y22="",Z22=""),"",IF(T22="不适用",0,10)+IF(U22="不适用",0,30)+25+25+IF(Z22="不适用",0,10))</x:f>
      </x:c>
      <x:c r="AV22" s="174" t="str">
        <x:f>IF(AU22="","",SUM(AF22:AJ22))</x:f>
      </x:c>
      <x:c r="AW22" s="186" t="str">
        <x:f>IF(AU22="","",ROUND(AV22/AU22*100,1))</x:f>
      </x:c>
      <x:c r="AX22" s="174" t="str">
        <x:f>IF(OR(AH22="",AI22=""),"",AH22+AI22)</x:f>
      </x:c>
      <x:c r="AY22" s="174" t="str">
        <x:f>IF(AX22="","",IF(AX22&lt;30,"未达标","达到门槛"))</x:f>
      </x:c>
      <x:c r="AZ22" s="174" t="str">
        <x:f>IF(A22="","",IF(OR(O22="仅挂会无有效参与",O22="缺席"),"是","否"))</x:f>
      </x:c>
      <x:c r="BA22" s="186" t="str">
        <x:f>IF(A22="","",IF(AZ22="是",0,AW22))</x:f>
      </x:c>
      <x:c r="BB22" s="174"/>
      <x:c r="BC22" s="186"/>
      <x:c r="BD22" s="186" t="str">
        <x:f>IF(A22="","",BA22)</x:f>
      </x:c>
      <x:c r="BE22" s="161"/>
      <x:c r="BF22" s="161"/>
      <x:c r="BG22" s="161"/>
      <x:c r="BH22" s="180"/>
      <x:c r="BI22" s="183"/>
    </x:row>
    <x:row r="23" ht="32" customHeight="1">
      <x:c r="A23" s="160"/>
      <x:c r="B23" s="161"/>
      <x:c r="C23" s="161"/>
      <x:c r="D23" s="161"/>
      <x:c r="E23" s="161"/>
      <x:c r="F23" s="180"/>
      <x:c r="G23" s="161" t="str">
        <x:f>IF(F23="","","H"&amp;IF(MONTH(F23)&lt;=6,1,2))</x:f>
      </x:c>
      <x:c r="H23" s="161"/>
      <x:c r="I23" s="161"/>
      <x:c r="J23" s="161"/>
      <x:c r="K23" s="161"/>
      <x:c r="L23" s="161"/>
      <x:c r="M23" s="161"/>
      <x:c r="N23" s="161"/>
      <x:c r="O23" s="161"/>
      <x:c r="P23" s="161"/>
      <x:c r="Q23" s="161"/>
      <x:c r="R23" s="161"/>
      <x:c r="S23" s="161"/>
      <x:c r="T23" s="165"/>
      <x:c r="U23" s="165"/>
      <x:c r="V23" s="168"/>
      <x:c r="W23" s="165"/>
      <x:c r="X23" s="168"/>
      <x:c r="Y23" s="165"/>
      <x:c r="Z23" s="165"/>
      <x:c r="AA23" s="171"/>
      <x:c r="AB23" s="171"/>
      <x:c r="AC23" s="171"/>
      <x:c r="AD23" s="171"/>
      <x:c r="AE23" s="171"/>
      <x:c r="AF23" s="174" t="str">
        <x:f>IF(T23="","",IF(T23="不适用",0,IF(T23="满分档",10,IF(T23="中间档",5,0))))</x:f>
      </x:c>
      <x:c r="AG23" s="174" t="str">
        <x:f>IF(U23="","",IF(U23="不适用",0,IF(U23="满分档",30,IF(U23="中间档",15,0))))</x:f>
      </x:c>
      <x:c r="AH23" s="174" t="str">
        <x:f>IF(W23="","",IF(W23="满分档",25,IF(W23="中间档",15,0)))</x:f>
      </x:c>
      <x:c r="AI23" s="174" t="str">
        <x:f>IF(Y23="","",IF(Y23="满分档",25,IF(Y23="中间档",15,0)))</x:f>
      </x:c>
      <x:c r="AJ23" s="174" t="str">
        <x:f>IF(Z23="","",IF(Z23="不适用",0,IF(Z23="满分档",10,IF(Z23="中间档",5,0))))</x:f>
      </x:c>
      <x:c r="AK23" s="168"/>
      <x:c r="AL23" s="165"/>
      <x:c r="AM23" s="168"/>
      <x:c r="AN23" s="165"/>
      <x:c r="AO23" s="171"/>
      <x:c r="AP23" s="171"/>
      <x:c r="AQ23" s="174" t="str">
        <x:f>IF(M23&lt;&gt;"是","",IF(AL23="","",IF(AL23="突出档",10,IF(AL23="达标档",6,0))))</x:f>
      </x:c>
      <x:c r="AR23" s="174" t="str">
        <x:f>IF(M23&lt;&gt;"是","",IF(AN23="","",IF(AN23="突出档",10,IF(AN23="达标档",6,0))))</x:f>
      </x:c>
      <x:c r="AS23" s="174" t="str">
        <x:f>IF(M23&lt;&gt;"是","",IF(OR(AQ23="",AR23=""),"",SUM(AQ23:AR23)))</x:f>
      </x:c>
      <x:c r="AT23" s="174" t="str">
        <x:f>IF(M23&lt;&gt;"是","",IF(OR(AL23="",AN23=""),"",IF(OR(AL23="0分档",AN23="0分档"),"主席履职待改进",IF(AND(AL23="突出档",AN23="突出档"),"主席履职突出","主席履职合格"))))</x:f>
      </x:c>
      <x:c r="AU23" s="174" t="str">
        <x:f>IF(OR(T23="",U23="",W23="",Y23="",Z23=""),"",IF(T23="不适用",0,10)+IF(U23="不适用",0,30)+25+25+IF(Z23="不适用",0,10))</x:f>
      </x:c>
      <x:c r="AV23" s="174" t="str">
        <x:f>IF(AU23="","",SUM(AF23:AJ23))</x:f>
      </x:c>
      <x:c r="AW23" s="186" t="str">
        <x:f>IF(AU23="","",ROUND(AV23/AU23*100,1))</x:f>
      </x:c>
      <x:c r="AX23" s="174" t="str">
        <x:f>IF(OR(AH23="",AI23=""),"",AH23+AI23)</x:f>
      </x:c>
      <x:c r="AY23" s="174" t="str">
        <x:f>IF(AX23="","",IF(AX23&lt;30,"未达标","达到门槛"))</x:f>
      </x:c>
      <x:c r="AZ23" s="174" t="str">
        <x:f>IF(A23="","",IF(OR(O23="仅挂会无有效参与",O23="缺席"),"是","否"))</x:f>
      </x:c>
      <x:c r="BA23" s="186" t="str">
        <x:f>IF(A23="","",IF(AZ23="是",0,AW23))</x:f>
      </x:c>
      <x:c r="BB23" s="174"/>
      <x:c r="BC23" s="186"/>
      <x:c r="BD23" s="186" t="str">
        <x:f>IF(A23="","",BA23)</x:f>
      </x:c>
      <x:c r="BE23" s="161"/>
      <x:c r="BF23" s="161"/>
      <x:c r="BG23" s="161"/>
      <x:c r="BH23" s="180"/>
      <x:c r="BI23" s="183"/>
    </x:row>
    <x:row r="24" ht="32" customHeight="1">
      <x:c r="A24" s="160"/>
      <x:c r="B24" s="161"/>
      <x:c r="C24" s="161"/>
      <x:c r="D24" s="161"/>
      <x:c r="E24" s="161"/>
      <x:c r="F24" s="180"/>
      <x:c r="G24" s="161" t="str">
        <x:f>IF(F24="","","H"&amp;IF(MONTH(F24)&lt;=6,1,2))</x:f>
      </x:c>
      <x:c r="H24" s="161"/>
      <x:c r="I24" s="161"/>
      <x:c r="J24" s="161"/>
      <x:c r="K24" s="161"/>
      <x:c r="L24" s="161"/>
      <x:c r="M24" s="161"/>
      <x:c r="N24" s="161"/>
      <x:c r="O24" s="161"/>
      <x:c r="P24" s="161"/>
      <x:c r="Q24" s="161"/>
      <x:c r="R24" s="161"/>
      <x:c r="S24" s="161"/>
      <x:c r="T24" s="165"/>
      <x:c r="U24" s="165"/>
      <x:c r="V24" s="168"/>
      <x:c r="W24" s="165"/>
      <x:c r="X24" s="168"/>
      <x:c r="Y24" s="165"/>
      <x:c r="Z24" s="165"/>
      <x:c r="AA24" s="171"/>
      <x:c r="AB24" s="171"/>
      <x:c r="AC24" s="171"/>
      <x:c r="AD24" s="171"/>
      <x:c r="AE24" s="171"/>
      <x:c r="AF24" s="174" t="str">
        <x:f>IF(T24="","",IF(T24="不适用",0,IF(T24="满分档",10,IF(T24="中间档",5,0))))</x:f>
      </x:c>
      <x:c r="AG24" s="174" t="str">
        <x:f>IF(U24="","",IF(U24="不适用",0,IF(U24="满分档",30,IF(U24="中间档",15,0))))</x:f>
      </x:c>
      <x:c r="AH24" s="174" t="str">
        <x:f>IF(W24="","",IF(W24="满分档",25,IF(W24="中间档",15,0)))</x:f>
      </x:c>
      <x:c r="AI24" s="174" t="str">
        <x:f>IF(Y24="","",IF(Y24="满分档",25,IF(Y24="中间档",15,0)))</x:f>
      </x:c>
      <x:c r="AJ24" s="174" t="str">
        <x:f>IF(Z24="","",IF(Z24="不适用",0,IF(Z24="满分档",10,IF(Z24="中间档",5,0))))</x:f>
      </x:c>
      <x:c r="AK24" s="168"/>
      <x:c r="AL24" s="165"/>
      <x:c r="AM24" s="168"/>
      <x:c r="AN24" s="165"/>
      <x:c r="AO24" s="171"/>
      <x:c r="AP24" s="171"/>
      <x:c r="AQ24" s="174" t="str">
        <x:f>IF(M24&lt;&gt;"是","",IF(AL24="","",IF(AL24="突出档",10,IF(AL24="达标档",6,0))))</x:f>
      </x:c>
      <x:c r="AR24" s="174" t="str">
        <x:f>IF(M24&lt;&gt;"是","",IF(AN24="","",IF(AN24="突出档",10,IF(AN24="达标档",6,0))))</x:f>
      </x:c>
      <x:c r="AS24" s="174" t="str">
        <x:f>IF(M24&lt;&gt;"是","",IF(OR(AQ24="",AR24=""),"",SUM(AQ24:AR24)))</x:f>
      </x:c>
      <x:c r="AT24" s="174" t="str">
        <x:f>IF(M24&lt;&gt;"是","",IF(OR(AL24="",AN24=""),"",IF(OR(AL24="0分档",AN24="0分档"),"主席履职待改进",IF(AND(AL24="突出档",AN24="突出档"),"主席履职突出","主席履职合格"))))</x:f>
      </x:c>
      <x:c r="AU24" s="174" t="str">
        <x:f>IF(OR(T24="",U24="",W24="",Y24="",Z24=""),"",IF(T24="不适用",0,10)+IF(U24="不适用",0,30)+25+25+IF(Z24="不适用",0,10))</x:f>
      </x:c>
      <x:c r="AV24" s="174" t="str">
        <x:f>IF(AU24="","",SUM(AF24:AJ24))</x:f>
      </x:c>
      <x:c r="AW24" s="186" t="str">
        <x:f>IF(AU24="","",ROUND(AV24/AU24*100,1))</x:f>
      </x:c>
      <x:c r="AX24" s="174" t="str">
        <x:f>IF(OR(AH24="",AI24=""),"",AH24+AI24)</x:f>
      </x:c>
      <x:c r="AY24" s="174" t="str">
        <x:f>IF(AX24="","",IF(AX24&lt;30,"未达标","达到门槛"))</x:f>
      </x:c>
      <x:c r="AZ24" s="174" t="str">
        <x:f>IF(A24="","",IF(OR(O24="仅挂会无有效参与",O24="缺席"),"是","否"))</x:f>
      </x:c>
      <x:c r="BA24" s="186" t="str">
        <x:f>IF(A24="","",IF(AZ24="是",0,AW24))</x:f>
      </x:c>
      <x:c r="BB24" s="174"/>
      <x:c r="BC24" s="186"/>
      <x:c r="BD24" s="186" t="str">
        <x:f>IF(A24="","",BA24)</x:f>
      </x:c>
      <x:c r="BE24" s="161"/>
      <x:c r="BF24" s="161"/>
      <x:c r="BG24" s="161"/>
      <x:c r="BH24" s="180"/>
      <x:c r="BI24" s="183"/>
    </x:row>
    <x:row r="25" ht="32" customHeight="1">
      <x:c r="A25" s="160"/>
      <x:c r="B25" s="161"/>
      <x:c r="C25" s="161"/>
      <x:c r="D25" s="161"/>
      <x:c r="E25" s="161"/>
      <x:c r="F25" s="180"/>
      <x:c r="G25" s="161" t="str">
        <x:f>IF(F25="","","H"&amp;IF(MONTH(F25)&lt;=6,1,2))</x:f>
      </x:c>
      <x:c r="H25" s="161"/>
      <x:c r="I25" s="161"/>
      <x:c r="J25" s="161"/>
      <x:c r="K25" s="161"/>
      <x:c r="L25" s="161"/>
      <x:c r="M25" s="161"/>
      <x:c r="N25" s="161"/>
      <x:c r="O25" s="161"/>
      <x:c r="P25" s="161"/>
      <x:c r="Q25" s="161"/>
      <x:c r="R25" s="161"/>
      <x:c r="S25" s="161"/>
      <x:c r="T25" s="165"/>
      <x:c r="U25" s="165"/>
      <x:c r="V25" s="168"/>
      <x:c r="W25" s="165"/>
      <x:c r="X25" s="168"/>
      <x:c r="Y25" s="165"/>
      <x:c r="Z25" s="165"/>
      <x:c r="AA25" s="171"/>
      <x:c r="AB25" s="171"/>
      <x:c r="AC25" s="171"/>
      <x:c r="AD25" s="171"/>
      <x:c r="AE25" s="171"/>
      <x:c r="AF25" s="174" t="str">
        <x:f>IF(T25="","",IF(T25="不适用",0,IF(T25="满分档",10,IF(T25="中间档",5,0))))</x:f>
      </x:c>
      <x:c r="AG25" s="174" t="str">
        <x:f>IF(U25="","",IF(U25="不适用",0,IF(U25="满分档",30,IF(U25="中间档",15,0))))</x:f>
      </x:c>
      <x:c r="AH25" s="174" t="str">
        <x:f>IF(W25="","",IF(W25="满分档",25,IF(W25="中间档",15,0)))</x:f>
      </x:c>
      <x:c r="AI25" s="174" t="str">
        <x:f>IF(Y25="","",IF(Y25="满分档",25,IF(Y25="中间档",15,0)))</x:f>
      </x:c>
      <x:c r="AJ25" s="174" t="str">
        <x:f>IF(Z25="","",IF(Z25="不适用",0,IF(Z25="满分档",10,IF(Z25="中间档",5,0))))</x:f>
      </x:c>
      <x:c r="AK25" s="168"/>
      <x:c r="AL25" s="165"/>
      <x:c r="AM25" s="168"/>
      <x:c r="AN25" s="165"/>
      <x:c r="AO25" s="171"/>
      <x:c r="AP25" s="171"/>
      <x:c r="AQ25" s="174" t="str">
        <x:f>IF(M25&lt;&gt;"是","",IF(AL25="","",IF(AL25="突出档",10,IF(AL25="达标档",6,0))))</x:f>
      </x:c>
      <x:c r="AR25" s="174" t="str">
        <x:f>IF(M25&lt;&gt;"是","",IF(AN25="","",IF(AN25="突出档",10,IF(AN25="达标档",6,0))))</x:f>
      </x:c>
      <x:c r="AS25" s="174" t="str">
        <x:f>IF(M25&lt;&gt;"是","",IF(OR(AQ25="",AR25=""),"",SUM(AQ25:AR25)))</x:f>
      </x:c>
      <x:c r="AT25" s="174" t="str">
        <x:f>IF(M25&lt;&gt;"是","",IF(OR(AL25="",AN25=""),"",IF(OR(AL25="0分档",AN25="0分档"),"主席履职待改进",IF(AND(AL25="突出档",AN25="突出档"),"主席履职突出","主席履职合格"))))</x:f>
      </x:c>
      <x:c r="AU25" s="174" t="str">
        <x:f>IF(OR(T25="",U25="",W25="",Y25="",Z25=""),"",IF(T25="不适用",0,10)+IF(U25="不适用",0,30)+25+25+IF(Z25="不适用",0,10))</x:f>
      </x:c>
      <x:c r="AV25" s="174" t="str">
        <x:f>IF(AU25="","",SUM(AF25:AJ25))</x:f>
      </x:c>
      <x:c r="AW25" s="186" t="str">
        <x:f>IF(AU25="","",ROUND(AV25/AU25*100,1))</x:f>
      </x:c>
      <x:c r="AX25" s="174" t="str">
        <x:f>IF(OR(AH25="",AI25=""),"",AH25+AI25)</x:f>
      </x:c>
      <x:c r="AY25" s="174" t="str">
        <x:f>IF(AX25="","",IF(AX25&lt;30,"未达标","达到门槛"))</x:f>
      </x:c>
      <x:c r="AZ25" s="174" t="str">
        <x:f>IF(A25="","",IF(OR(O25="仅挂会无有效参与",O25="缺席"),"是","否"))</x:f>
      </x:c>
      <x:c r="BA25" s="186" t="str">
        <x:f>IF(A25="","",IF(AZ25="是",0,AW25))</x:f>
      </x:c>
      <x:c r="BB25" s="174"/>
      <x:c r="BC25" s="186"/>
      <x:c r="BD25" s="186" t="str">
        <x:f>IF(A25="","",BA25)</x:f>
      </x:c>
      <x:c r="BE25" s="161"/>
      <x:c r="BF25" s="161"/>
      <x:c r="BG25" s="161"/>
      <x:c r="BH25" s="180"/>
      <x:c r="BI25" s="183"/>
    </x:row>
    <x:row r="26" ht="32" customHeight="1">
      <x:c r="A26" s="160"/>
      <x:c r="B26" s="161"/>
      <x:c r="C26" s="161"/>
      <x:c r="D26" s="161"/>
      <x:c r="E26" s="161"/>
      <x:c r="F26" s="180"/>
      <x:c r="G26" s="161" t="str">
        <x:f>IF(F26="","","H"&amp;IF(MONTH(F26)&lt;=6,1,2))</x:f>
      </x:c>
      <x:c r="H26" s="161"/>
      <x:c r="I26" s="161"/>
      <x:c r="J26" s="161"/>
      <x:c r="K26" s="161"/>
      <x:c r="L26" s="161"/>
      <x:c r="M26" s="161"/>
      <x:c r="N26" s="161"/>
      <x:c r="O26" s="161"/>
      <x:c r="P26" s="161"/>
      <x:c r="Q26" s="161"/>
      <x:c r="R26" s="161"/>
      <x:c r="S26" s="161"/>
      <x:c r="T26" s="165"/>
      <x:c r="U26" s="165"/>
      <x:c r="V26" s="168"/>
      <x:c r="W26" s="165"/>
      <x:c r="X26" s="168"/>
      <x:c r="Y26" s="165"/>
      <x:c r="Z26" s="165"/>
      <x:c r="AA26" s="171"/>
      <x:c r="AB26" s="171"/>
      <x:c r="AC26" s="171"/>
      <x:c r="AD26" s="171"/>
      <x:c r="AE26" s="171"/>
      <x:c r="AF26" s="174" t="str">
        <x:f>IF(T26="","",IF(T26="不适用",0,IF(T26="满分档",10,IF(T26="中间档",5,0))))</x:f>
      </x:c>
      <x:c r="AG26" s="174" t="str">
        <x:f>IF(U26="","",IF(U26="不适用",0,IF(U26="满分档",30,IF(U26="中间档",15,0))))</x:f>
      </x:c>
      <x:c r="AH26" s="174" t="str">
        <x:f>IF(W26="","",IF(W26="满分档",25,IF(W26="中间档",15,0)))</x:f>
      </x:c>
      <x:c r="AI26" s="174" t="str">
        <x:f>IF(Y26="","",IF(Y26="满分档",25,IF(Y26="中间档",15,0)))</x:f>
      </x:c>
      <x:c r="AJ26" s="174" t="str">
        <x:f>IF(Z26="","",IF(Z26="不适用",0,IF(Z26="满分档",10,IF(Z26="中间档",5,0))))</x:f>
      </x:c>
      <x:c r="AK26" s="168"/>
      <x:c r="AL26" s="165"/>
      <x:c r="AM26" s="168"/>
      <x:c r="AN26" s="165"/>
      <x:c r="AO26" s="171"/>
      <x:c r="AP26" s="171"/>
      <x:c r="AQ26" s="174" t="str">
        <x:f>IF(M26&lt;&gt;"是","",IF(AL26="","",IF(AL26="突出档",10,IF(AL26="达标档",6,0))))</x:f>
      </x:c>
      <x:c r="AR26" s="174" t="str">
        <x:f>IF(M26&lt;&gt;"是","",IF(AN26="","",IF(AN26="突出档",10,IF(AN26="达标档",6,0))))</x:f>
      </x:c>
      <x:c r="AS26" s="174" t="str">
        <x:f>IF(M26&lt;&gt;"是","",IF(OR(AQ26="",AR26=""),"",SUM(AQ26:AR26)))</x:f>
      </x:c>
      <x:c r="AT26" s="174" t="str">
        <x:f>IF(M26&lt;&gt;"是","",IF(OR(AL26="",AN26=""),"",IF(OR(AL26="0分档",AN26="0分档"),"主席履职待改进",IF(AND(AL26="突出档",AN26="突出档"),"主席履职突出","主席履职合格"))))</x:f>
      </x:c>
      <x:c r="AU26" s="174" t="str">
        <x:f>IF(OR(T26="",U26="",W26="",Y26="",Z26=""),"",IF(T26="不适用",0,10)+IF(U26="不适用",0,30)+25+25+IF(Z26="不适用",0,10))</x:f>
      </x:c>
      <x:c r="AV26" s="174" t="str">
        <x:f>IF(AU26="","",SUM(AF26:AJ26))</x:f>
      </x:c>
      <x:c r="AW26" s="186" t="str">
        <x:f>IF(AU26="","",ROUND(AV26/AU26*100,1))</x:f>
      </x:c>
      <x:c r="AX26" s="174" t="str">
        <x:f>IF(OR(AH26="",AI26=""),"",AH26+AI26)</x:f>
      </x:c>
      <x:c r="AY26" s="174" t="str">
        <x:f>IF(AX26="","",IF(AX26&lt;30,"未达标","达到门槛"))</x:f>
      </x:c>
      <x:c r="AZ26" s="174" t="str">
        <x:f>IF(A26="","",IF(OR(O26="仅挂会无有效参与",O26="缺席"),"是","否"))</x:f>
      </x:c>
      <x:c r="BA26" s="186" t="str">
        <x:f>IF(A26="","",IF(AZ26="是",0,AW26))</x:f>
      </x:c>
      <x:c r="BB26" s="174"/>
      <x:c r="BC26" s="186"/>
      <x:c r="BD26" s="186" t="str">
        <x:f>IF(A26="","",BA26)</x:f>
      </x:c>
      <x:c r="BE26" s="161"/>
      <x:c r="BF26" s="161"/>
      <x:c r="BG26" s="161"/>
      <x:c r="BH26" s="180"/>
      <x:c r="BI26" s="183"/>
    </x:row>
    <x:row r="27" ht="32" customHeight="1">
      <x:c r="A27" s="160"/>
      <x:c r="B27" s="161"/>
      <x:c r="C27" s="161"/>
      <x:c r="D27" s="161"/>
      <x:c r="E27" s="161"/>
      <x:c r="F27" s="180"/>
      <x:c r="G27" s="161" t="str">
        <x:f>IF(F27="","","H"&amp;IF(MONTH(F27)&lt;=6,1,2))</x:f>
      </x:c>
      <x:c r="H27" s="161"/>
      <x:c r="I27" s="161"/>
      <x:c r="J27" s="161"/>
      <x:c r="K27" s="161"/>
      <x:c r="L27" s="161"/>
      <x:c r="M27" s="161"/>
      <x:c r="N27" s="161"/>
      <x:c r="O27" s="161"/>
      <x:c r="P27" s="161"/>
      <x:c r="Q27" s="161"/>
      <x:c r="R27" s="161"/>
      <x:c r="S27" s="161"/>
      <x:c r="T27" s="165"/>
      <x:c r="U27" s="165"/>
      <x:c r="V27" s="168"/>
      <x:c r="W27" s="165"/>
      <x:c r="X27" s="168"/>
      <x:c r="Y27" s="165"/>
      <x:c r="Z27" s="165"/>
      <x:c r="AA27" s="171"/>
      <x:c r="AB27" s="171"/>
      <x:c r="AC27" s="171"/>
      <x:c r="AD27" s="171"/>
      <x:c r="AE27" s="171"/>
      <x:c r="AF27" s="174" t="str">
        <x:f>IF(T27="","",IF(T27="不适用",0,IF(T27="满分档",10,IF(T27="中间档",5,0))))</x:f>
      </x:c>
      <x:c r="AG27" s="174" t="str">
        <x:f>IF(U27="","",IF(U27="不适用",0,IF(U27="满分档",30,IF(U27="中间档",15,0))))</x:f>
      </x:c>
      <x:c r="AH27" s="174" t="str">
        <x:f>IF(W27="","",IF(W27="满分档",25,IF(W27="中间档",15,0)))</x:f>
      </x:c>
      <x:c r="AI27" s="174" t="str">
        <x:f>IF(Y27="","",IF(Y27="满分档",25,IF(Y27="中间档",15,0)))</x:f>
      </x:c>
      <x:c r="AJ27" s="174" t="str">
        <x:f>IF(Z27="","",IF(Z27="不适用",0,IF(Z27="满分档",10,IF(Z27="中间档",5,0))))</x:f>
      </x:c>
      <x:c r="AK27" s="168"/>
      <x:c r="AL27" s="165"/>
      <x:c r="AM27" s="168"/>
      <x:c r="AN27" s="165"/>
      <x:c r="AO27" s="171"/>
      <x:c r="AP27" s="171"/>
      <x:c r="AQ27" s="174" t="str">
        <x:f>IF(M27&lt;&gt;"是","",IF(AL27="","",IF(AL27="突出档",10,IF(AL27="达标档",6,0))))</x:f>
      </x:c>
      <x:c r="AR27" s="174" t="str">
        <x:f>IF(M27&lt;&gt;"是","",IF(AN27="","",IF(AN27="突出档",10,IF(AN27="达标档",6,0))))</x:f>
      </x:c>
      <x:c r="AS27" s="174" t="str">
        <x:f>IF(M27&lt;&gt;"是","",IF(OR(AQ27="",AR27=""),"",SUM(AQ27:AR27)))</x:f>
      </x:c>
      <x:c r="AT27" s="174" t="str">
        <x:f>IF(M27&lt;&gt;"是","",IF(OR(AL27="",AN27=""),"",IF(OR(AL27="0分档",AN27="0分档"),"主席履职待改进",IF(AND(AL27="突出档",AN27="突出档"),"主席履职突出","主席履职合格"))))</x:f>
      </x:c>
      <x:c r="AU27" s="174" t="str">
        <x:f>IF(OR(T27="",U27="",W27="",Y27="",Z27=""),"",IF(T27="不适用",0,10)+IF(U27="不适用",0,30)+25+25+IF(Z27="不适用",0,10))</x:f>
      </x:c>
      <x:c r="AV27" s="174" t="str">
        <x:f>IF(AU27="","",SUM(AF27:AJ27))</x:f>
      </x:c>
      <x:c r="AW27" s="186" t="str">
        <x:f>IF(AU27="","",ROUND(AV27/AU27*100,1))</x:f>
      </x:c>
      <x:c r="AX27" s="174" t="str">
        <x:f>IF(OR(AH27="",AI27=""),"",AH27+AI27)</x:f>
      </x:c>
      <x:c r="AY27" s="174" t="str">
        <x:f>IF(AX27="","",IF(AX27&lt;30,"未达标","达到门槛"))</x:f>
      </x:c>
      <x:c r="AZ27" s="174" t="str">
        <x:f>IF(A27="","",IF(OR(O27="仅挂会无有效参与",O27="缺席"),"是","否"))</x:f>
      </x:c>
      <x:c r="BA27" s="186" t="str">
        <x:f>IF(A27="","",IF(AZ27="是",0,AW27))</x:f>
      </x:c>
      <x:c r="BB27" s="174"/>
      <x:c r="BC27" s="186"/>
      <x:c r="BD27" s="186" t="str">
        <x:f>IF(A27="","",BA27)</x:f>
      </x:c>
      <x:c r="BE27" s="161"/>
      <x:c r="BF27" s="161"/>
      <x:c r="BG27" s="161"/>
      <x:c r="BH27" s="180"/>
      <x:c r="BI27" s="183"/>
    </x:row>
    <x:row r="28" ht="32" customHeight="1">
      <x:c r="A28" s="160"/>
      <x:c r="B28" s="161"/>
      <x:c r="C28" s="161"/>
      <x:c r="D28" s="161"/>
      <x:c r="E28" s="161"/>
      <x:c r="F28" s="180"/>
      <x:c r="G28" s="161" t="str">
        <x:f>IF(F28="","","H"&amp;IF(MONTH(F28)&lt;=6,1,2))</x:f>
      </x:c>
      <x:c r="H28" s="161"/>
      <x:c r="I28" s="161"/>
      <x:c r="J28" s="161"/>
      <x:c r="K28" s="161"/>
      <x:c r="L28" s="161"/>
      <x:c r="M28" s="161"/>
      <x:c r="N28" s="161"/>
      <x:c r="O28" s="161"/>
      <x:c r="P28" s="161"/>
      <x:c r="Q28" s="161"/>
      <x:c r="R28" s="161"/>
      <x:c r="S28" s="161"/>
      <x:c r="T28" s="165"/>
      <x:c r="U28" s="165"/>
      <x:c r="V28" s="168"/>
      <x:c r="W28" s="165"/>
      <x:c r="X28" s="168"/>
      <x:c r="Y28" s="165"/>
      <x:c r="Z28" s="165"/>
      <x:c r="AA28" s="171"/>
      <x:c r="AB28" s="171"/>
      <x:c r="AC28" s="171"/>
      <x:c r="AD28" s="171"/>
      <x:c r="AE28" s="171"/>
      <x:c r="AF28" s="174" t="str">
        <x:f>IF(T28="","",IF(T28="不适用",0,IF(T28="满分档",10,IF(T28="中间档",5,0))))</x:f>
      </x:c>
      <x:c r="AG28" s="174" t="str">
        <x:f>IF(U28="","",IF(U28="不适用",0,IF(U28="满分档",30,IF(U28="中间档",15,0))))</x:f>
      </x:c>
      <x:c r="AH28" s="174" t="str">
        <x:f>IF(W28="","",IF(W28="满分档",25,IF(W28="中间档",15,0)))</x:f>
      </x:c>
      <x:c r="AI28" s="174" t="str">
        <x:f>IF(Y28="","",IF(Y28="满分档",25,IF(Y28="中间档",15,0)))</x:f>
      </x:c>
      <x:c r="AJ28" s="174" t="str">
        <x:f>IF(Z28="","",IF(Z28="不适用",0,IF(Z28="满分档",10,IF(Z28="中间档",5,0))))</x:f>
      </x:c>
      <x:c r="AK28" s="168"/>
      <x:c r="AL28" s="165"/>
      <x:c r="AM28" s="168"/>
      <x:c r="AN28" s="165"/>
      <x:c r="AO28" s="171"/>
      <x:c r="AP28" s="171"/>
      <x:c r="AQ28" s="174" t="str">
        <x:f>IF(M28&lt;&gt;"是","",IF(AL28="","",IF(AL28="突出档",10,IF(AL28="达标档",6,0))))</x:f>
      </x:c>
      <x:c r="AR28" s="174" t="str">
        <x:f>IF(M28&lt;&gt;"是","",IF(AN28="","",IF(AN28="突出档",10,IF(AN28="达标档",6,0))))</x:f>
      </x:c>
      <x:c r="AS28" s="174" t="str">
        <x:f>IF(M28&lt;&gt;"是","",IF(OR(AQ28="",AR28=""),"",SUM(AQ28:AR28)))</x:f>
      </x:c>
      <x:c r="AT28" s="174" t="str">
        <x:f>IF(M28&lt;&gt;"是","",IF(OR(AL28="",AN28=""),"",IF(OR(AL28="0分档",AN28="0分档"),"主席履职待改进",IF(AND(AL28="突出档",AN28="突出档"),"主席履职突出","主席履职合格"))))</x:f>
      </x:c>
      <x:c r="AU28" s="174" t="str">
        <x:f>IF(OR(T28="",U28="",W28="",Y28="",Z28=""),"",IF(T28="不适用",0,10)+IF(U28="不适用",0,30)+25+25+IF(Z28="不适用",0,10))</x:f>
      </x:c>
      <x:c r="AV28" s="174" t="str">
        <x:f>IF(AU28="","",SUM(AF28:AJ28))</x:f>
      </x:c>
      <x:c r="AW28" s="186" t="str">
        <x:f>IF(AU28="","",ROUND(AV28/AU28*100,1))</x:f>
      </x:c>
      <x:c r="AX28" s="174" t="str">
        <x:f>IF(OR(AH28="",AI28=""),"",AH28+AI28)</x:f>
      </x:c>
      <x:c r="AY28" s="174" t="str">
        <x:f>IF(AX28="","",IF(AX28&lt;30,"未达标","达到门槛"))</x:f>
      </x:c>
      <x:c r="AZ28" s="174" t="str">
        <x:f>IF(A28="","",IF(OR(O28="仅挂会无有效参与",O28="缺席"),"是","否"))</x:f>
      </x:c>
      <x:c r="BA28" s="186" t="str">
        <x:f>IF(A28="","",IF(AZ28="是",0,AW28))</x:f>
      </x:c>
      <x:c r="BB28" s="174"/>
      <x:c r="BC28" s="186"/>
      <x:c r="BD28" s="186" t="str">
        <x:f>IF(A28="","",BA28)</x:f>
      </x:c>
      <x:c r="BE28" s="161"/>
      <x:c r="BF28" s="161"/>
      <x:c r="BG28" s="161"/>
      <x:c r="BH28" s="180"/>
      <x:c r="BI28" s="183"/>
    </x:row>
    <x:row r="29" ht="32" customHeight="1">
      <x:c r="A29" s="160"/>
      <x:c r="B29" s="161"/>
      <x:c r="C29" s="161"/>
      <x:c r="D29" s="161"/>
      <x:c r="E29" s="161"/>
      <x:c r="F29" s="180"/>
      <x:c r="G29" s="161" t="str">
        <x:f>IF(F29="","","H"&amp;IF(MONTH(F29)&lt;=6,1,2))</x:f>
      </x:c>
      <x:c r="H29" s="161"/>
      <x:c r="I29" s="161"/>
      <x:c r="J29" s="161"/>
      <x:c r="K29" s="161"/>
      <x:c r="L29" s="161"/>
      <x:c r="M29" s="161"/>
      <x:c r="N29" s="161"/>
      <x:c r="O29" s="161"/>
      <x:c r="P29" s="161"/>
      <x:c r="Q29" s="161"/>
      <x:c r="R29" s="161"/>
      <x:c r="S29" s="161"/>
      <x:c r="T29" s="165"/>
      <x:c r="U29" s="165"/>
      <x:c r="V29" s="168"/>
      <x:c r="W29" s="165"/>
      <x:c r="X29" s="168"/>
      <x:c r="Y29" s="165"/>
      <x:c r="Z29" s="165"/>
      <x:c r="AA29" s="171"/>
      <x:c r="AB29" s="171"/>
      <x:c r="AC29" s="171"/>
      <x:c r="AD29" s="171"/>
      <x:c r="AE29" s="171"/>
      <x:c r="AF29" s="174" t="str">
        <x:f>IF(T29="","",IF(T29="不适用",0,IF(T29="满分档",10,IF(T29="中间档",5,0))))</x:f>
      </x:c>
      <x:c r="AG29" s="174" t="str">
        <x:f>IF(U29="","",IF(U29="不适用",0,IF(U29="满分档",30,IF(U29="中间档",15,0))))</x:f>
      </x:c>
      <x:c r="AH29" s="174" t="str">
        <x:f>IF(W29="","",IF(W29="满分档",25,IF(W29="中间档",15,0)))</x:f>
      </x:c>
      <x:c r="AI29" s="174" t="str">
        <x:f>IF(Y29="","",IF(Y29="满分档",25,IF(Y29="中间档",15,0)))</x:f>
      </x:c>
      <x:c r="AJ29" s="174" t="str">
        <x:f>IF(Z29="","",IF(Z29="不适用",0,IF(Z29="满分档",10,IF(Z29="中间档",5,0))))</x:f>
      </x:c>
      <x:c r="AK29" s="168"/>
      <x:c r="AL29" s="165"/>
      <x:c r="AM29" s="168"/>
      <x:c r="AN29" s="165"/>
      <x:c r="AO29" s="171"/>
      <x:c r="AP29" s="171"/>
      <x:c r="AQ29" s="174" t="str">
        <x:f>IF(M29&lt;&gt;"是","",IF(AL29="","",IF(AL29="突出档",10,IF(AL29="达标档",6,0))))</x:f>
      </x:c>
      <x:c r="AR29" s="174" t="str">
        <x:f>IF(M29&lt;&gt;"是","",IF(AN29="","",IF(AN29="突出档",10,IF(AN29="达标档",6,0))))</x:f>
      </x:c>
      <x:c r="AS29" s="174" t="str">
        <x:f>IF(M29&lt;&gt;"是","",IF(OR(AQ29="",AR29=""),"",SUM(AQ29:AR29)))</x:f>
      </x:c>
      <x:c r="AT29" s="174" t="str">
        <x:f>IF(M29&lt;&gt;"是","",IF(OR(AL29="",AN29=""),"",IF(OR(AL29="0分档",AN29="0分档"),"主席履职待改进",IF(AND(AL29="突出档",AN29="突出档"),"主席履职突出","主席履职合格"))))</x:f>
      </x:c>
      <x:c r="AU29" s="174" t="str">
        <x:f>IF(OR(T29="",U29="",W29="",Y29="",Z29=""),"",IF(T29="不适用",0,10)+IF(U29="不适用",0,30)+25+25+IF(Z29="不适用",0,10))</x:f>
      </x:c>
      <x:c r="AV29" s="174" t="str">
        <x:f>IF(AU29="","",SUM(AF29:AJ29))</x:f>
      </x:c>
      <x:c r="AW29" s="186" t="str">
        <x:f>IF(AU29="","",ROUND(AV29/AU29*100,1))</x:f>
      </x:c>
      <x:c r="AX29" s="174" t="str">
        <x:f>IF(OR(AH29="",AI29=""),"",AH29+AI29)</x:f>
      </x:c>
      <x:c r="AY29" s="174" t="str">
        <x:f>IF(AX29="","",IF(AX29&lt;30,"未达标","达到门槛"))</x:f>
      </x:c>
      <x:c r="AZ29" s="174" t="str">
        <x:f>IF(A29="","",IF(OR(O29="仅挂会无有效参与",O29="缺席"),"是","否"))</x:f>
      </x:c>
      <x:c r="BA29" s="186" t="str">
        <x:f>IF(A29="","",IF(AZ29="是",0,AW29))</x:f>
      </x:c>
      <x:c r="BB29" s="174"/>
      <x:c r="BC29" s="186"/>
      <x:c r="BD29" s="186" t="str">
        <x:f>IF(A29="","",BA29)</x:f>
      </x:c>
      <x:c r="BE29" s="161"/>
      <x:c r="BF29" s="161"/>
      <x:c r="BG29" s="161"/>
      <x:c r="BH29" s="180"/>
      <x:c r="BI29" s="183"/>
    </x:row>
    <x:row r="30" ht="32" customHeight="1">
      <x:c r="A30" s="160"/>
      <x:c r="B30" s="161"/>
      <x:c r="C30" s="161"/>
      <x:c r="D30" s="161"/>
      <x:c r="E30" s="161"/>
      <x:c r="F30" s="180"/>
      <x:c r="G30" s="161" t="str">
        <x:f>IF(F30="","","H"&amp;IF(MONTH(F30)&lt;=6,1,2))</x:f>
      </x:c>
      <x:c r="H30" s="161"/>
      <x:c r="I30" s="161"/>
      <x:c r="J30" s="161"/>
      <x:c r="K30" s="161"/>
      <x:c r="L30" s="161"/>
      <x:c r="M30" s="161"/>
      <x:c r="N30" s="161"/>
      <x:c r="O30" s="161"/>
      <x:c r="P30" s="161"/>
      <x:c r="Q30" s="161"/>
      <x:c r="R30" s="161"/>
      <x:c r="S30" s="161"/>
      <x:c r="T30" s="165"/>
      <x:c r="U30" s="165"/>
      <x:c r="V30" s="168"/>
      <x:c r="W30" s="165"/>
      <x:c r="X30" s="168"/>
      <x:c r="Y30" s="165"/>
      <x:c r="Z30" s="165"/>
      <x:c r="AA30" s="171"/>
      <x:c r="AB30" s="171"/>
      <x:c r="AC30" s="171"/>
      <x:c r="AD30" s="171"/>
      <x:c r="AE30" s="171"/>
      <x:c r="AF30" s="174" t="str">
        <x:f>IF(T30="","",IF(T30="不适用",0,IF(T30="满分档",10,IF(T30="中间档",5,0))))</x:f>
      </x:c>
      <x:c r="AG30" s="174" t="str">
        <x:f>IF(U30="","",IF(U30="不适用",0,IF(U30="满分档",30,IF(U30="中间档",15,0))))</x:f>
      </x:c>
      <x:c r="AH30" s="174" t="str">
        <x:f>IF(W30="","",IF(W30="满分档",25,IF(W30="中间档",15,0)))</x:f>
      </x:c>
      <x:c r="AI30" s="174" t="str">
        <x:f>IF(Y30="","",IF(Y30="满分档",25,IF(Y30="中间档",15,0)))</x:f>
      </x:c>
      <x:c r="AJ30" s="174" t="str">
        <x:f>IF(Z30="","",IF(Z30="不适用",0,IF(Z30="满分档",10,IF(Z30="中间档",5,0))))</x:f>
      </x:c>
      <x:c r="AK30" s="168"/>
      <x:c r="AL30" s="165"/>
      <x:c r="AM30" s="168"/>
      <x:c r="AN30" s="165"/>
      <x:c r="AO30" s="171"/>
      <x:c r="AP30" s="171"/>
      <x:c r="AQ30" s="174" t="str">
        <x:f>IF(M30&lt;&gt;"是","",IF(AL30="","",IF(AL30="突出档",10,IF(AL30="达标档",6,0))))</x:f>
      </x:c>
      <x:c r="AR30" s="174" t="str">
        <x:f>IF(M30&lt;&gt;"是","",IF(AN30="","",IF(AN30="突出档",10,IF(AN30="达标档",6,0))))</x:f>
      </x:c>
      <x:c r="AS30" s="174" t="str">
        <x:f>IF(M30&lt;&gt;"是","",IF(OR(AQ30="",AR30=""),"",SUM(AQ30:AR30)))</x:f>
      </x:c>
      <x:c r="AT30" s="174" t="str">
        <x:f>IF(M30&lt;&gt;"是","",IF(OR(AL30="",AN30=""),"",IF(OR(AL30="0分档",AN30="0分档"),"主席履职待改进",IF(AND(AL30="突出档",AN30="突出档"),"主席履职突出","主席履职合格"))))</x:f>
      </x:c>
      <x:c r="AU30" s="174" t="str">
        <x:f>IF(OR(T30="",U30="",W30="",Y30="",Z30=""),"",IF(T30="不适用",0,10)+IF(U30="不适用",0,30)+25+25+IF(Z30="不适用",0,10))</x:f>
      </x:c>
      <x:c r="AV30" s="174" t="str">
        <x:f>IF(AU30="","",SUM(AF30:AJ30))</x:f>
      </x:c>
      <x:c r="AW30" s="186" t="str">
        <x:f>IF(AU30="","",ROUND(AV30/AU30*100,1))</x:f>
      </x:c>
      <x:c r="AX30" s="174" t="str">
        <x:f>IF(OR(AH30="",AI30=""),"",AH30+AI30)</x:f>
      </x:c>
      <x:c r="AY30" s="174" t="str">
        <x:f>IF(AX30="","",IF(AX30&lt;30,"未达标","达到门槛"))</x:f>
      </x:c>
      <x:c r="AZ30" s="174" t="str">
        <x:f>IF(A30="","",IF(OR(O30="仅挂会无有效参与",O30="缺席"),"是","否"))</x:f>
      </x:c>
      <x:c r="BA30" s="186" t="str">
        <x:f>IF(A30="","",IF(AZ30="是",0,AW30))</x:f>
      </x:c>
      <x:c r="BB30" s="174"/>
      <x:c r="BC30" s="186"/>
      <x:c r="BD30" s="186" t="str">
        <x:f>IF(A30="","",BA30)</x:f>
      </x:c>
      <x:c r="BE30" s="161"/>
      <x:c r="BF30" s="161"/>
      <x:c r="BG30" s="161"/>
      <x:c r="BH30" s="180"/>
      <x:c r="BI30" s="183"/>
    </x:row>
    <x:row r="31" ht="32" customHeight="1">
      <x:c r="A31" s="160"/>
      <x:c r="B31" s="161"/>
      <x:c r="C31" s="161"/>
      <x:c r="D31" s="161"/>
      <x:c r="E31" s="161"/>
      <x:c r="F31" s="180"/>
      <x:c r="G31" s="161" t="str">
        <x:f>IF(F31="","","H"&amp;IF(MONTH(F31)&lt;=6,1,2))</x:f>
      </x:c>
      <x:c r="H31" s="161"/>
      <x:c r="I31" s="161"/>
      <x:c r="J31" s="161"/>
      <x:c r="K31" s="161"/>
      <x:c r="L31" s="161"/>
      <x:c r="M31" s="161"/>
      <x:c r="N31" s="161"/>
      <x:c r="O31" s="161"/>
      <x:c r="P31" s="161"/>
      <x:c r="Q31" s="161"/>
      <x:c r="R31" s="161"/>
      <x:c r="S31" s="161"/>
      <x:c r="T31" s="165"/>
      <x:c r="U31" s="165"/>
      <x:c r="V31" s="168"/>
      <x:c r="W31" s="165"/>
      <x:c r="X31" s="168"/>
      <x:c r="Y31" s="165"/>
      <x:c r="Z31" s="165"/>
      <x:c r="AA31" s="171"/>
      <x:c r="AB31" s="171"/>
      <x:c r="AC31" s="171"/>
      <x:c r="AD31" s="171"/>
      <x:c r="AE31" s="171"/>
      <x:c r="AF31" s="174" t="str">
        <x:f>IF(T31="","",IF(T31="不适用",0,IF(T31="满分档",10,IF(T31="中间档",5,0))))</x:f>
      </x:c>
      <x:c r="AG31" s="174" t="str">
        <x:f>IF(U31="","",IF(U31="不适用",0,IF(U31="满分档",30,IF(U31="中间档",15,0))))</x:f>
      </x:c>
      <x:c r="AH31" s="174" t="str">
        <x:f>IF(W31="","",IF(W31="满分档",25,IF(W31="中间档",15,0)))</x:f>
      </x:c>
      <x:c r="AI31" s="174" t="str">
        <x:f>IF(Y31="","",IF(Y31="满分档",25,IF(Y31="中间档",15,0)))</x:f>
      </x:c>
      <x:c r="AJ31" s="174" t="str">
        <x:f>IF(Z31="","",IF(Z31="不适用",0,IF(Z31="满分档",10,IF(Z31="中间档",5,0))))</x:f>
      </x:c>
      <x:c r="AK31" s="168"/>
      <x:c r="AL31" s="165"/>
      <x:c r="AM31" s="168"/>
      <x:c r="AN31" s="165"/>
      <x:c r="AO31" s="171"/>
      <x:c r="AP31" s="171"/>
      <x:c r="AQ31" s="174" t="str">
        <x:f>IF(M31&lt;&gt;"是","",IF(AL31="","",IF(AL31="突出档",10,IF(AL31="达标档",6,0))))</x:f>
      </x:c>
      <x:c r="AR31" s="174" t="str">
        <x:f>IF(M31&lt;&gt;"是","",IF(AN31="","",IF(AN31="突出档",10,IF(AN31="达标档",6,0))))</x:f>
      </x:c>
      <x:c r="AS31" s="174" t="str">
        <x:f>IF(M31&lt;&gt;"是","",IF(OR(AQ31="",AR31=""),"",SUM(AQ31:AR31)))</x:f>
      </x:c>
      <x:c r="AT31" s="174" t="str">
        <x:f>IF(M31&lt;&gt;"是","",IF(OR(AL31="",AN31=""),"",IF(OR(AL31="0分档",AN31="0分档"),"主席履职待改进",IF(AND(AL31="突出档",AN31="突出档"),"主席履职突出","主席履职合格"))))</x:f>
      </x:c>
      <x:c r="AU31" s="174" t="str">
        <x:f>IF(OR(T31="",U31="",W31="",Y31="",Z31=""),"",IF(T31="不适用",0,10)+IF(U31="不适用",0,30)+25+25+IF(Z31="不适用",0,10))</x:f>
      </x:c>
      <x:c r="AV31" s="174" t="str">
        <x:f>IF(AU31="","",SUM(AF31:AJ31))</x:f>
      </x:c>
      <x:c r="AW31" s="186" t="str">
        <x:f>IF(AU31="","",ROUND(AV31/AU31*100,1))</x:f>
      </x:c>
      <x:c r="AX31" s="174" t="str">
        <x:f>IF(OR(AH31="",AI31=""),"",AH31+AI31)</x:f>
      </x:c>
      <x:c r="AY31" s="174" t="str">
        <x:f>IF(AX31="","",IF(AX31&lt;30,"未达标","达到门槛"))</x:f>
      </x:c>
      <x:c r="AZ31" s="174" t="str">
        <x:f>IF(A31="","",IF(OR(O31="仅挂会无有效参与",O31="缺席"),"是","否"))</x:f>
      </x:c>
      <x:c r="BA31" s="186" t="str">
        <x:f>IF(A31="","",IF(AZ31="是",0,AW31))</x:f>
      </x:c>
      <x:c r="BB31" s="174"/>
      <x:c r="BC31" s="186"/>
      <x:c r="BD31" s="186" t="str">
        <x:f>IF(A31="","",BA31)</x:f>
      </x:c>
      <x:c r="BE31" s="161"/>
      <x:c r="BF31" s="161"/>
      <x:c r="BG31" s="161"/>
      <x:c r="BH31" s="180"/>
      <x:c r="BI31" s="183"/>
    </x:row>
    <x:row r="32" ht="32" customHeight="1">
      <x:c r="A32" s="160"/>
      <x:c r="B32" s="161"/>
      <x:c r="C32" s="161"/>
      <x:c r="D32" s="161"/>
      <x:c r="E32" s="161"/>
      <x:c r="F32" s="180"/>
      <x:c r="G32" s="161" t="str">
        <x:f>IF(F32="","","H"&amp;IF(MONTH(F32)&lt;=6,1,2))</x:f>
      </x:c>
      <x:c r="H32" s="161"/>
      <x:c r="I32" s="161"/>
      <x:c r="J32" s="161"/>
      <x:c r="K32" s="161"/>
      <x:c r="L32" s="161"/>
      <x:c r="M32" s="161"/>
      <x:c r="N32" s="161"/>
      <x:c r="O32" s="161"/>
      <x:c r="P32" s="161"/>
      <x:c r="Q32" s="161"/>
      <x:c r="R32" s="161"/>
      <x:c r="S32" s="161"/>
      <x:c r="T32" s="165"/>
      <x:c r="U32" s="165"/>
      <x:c r="V32" s="168"/>
      <x:c r="W32" s="165"/>
      <x:c r="X32" s="168"/>
      <x:c r="Y32" s="165"/>
      <x:c r="Z32" s="165"/>
      <x:c r="AA32" s="171"/>
      <x:c r="AB32" s="171"/>
      <x:c r="AC32" s="171"/>
      <x:c r="AD32" s="171"/>
      <x:c r="AE32" s="171"/>
      <x:c r="AF32" s="174" t="str">
        <x:f>IF(T32="","",IF(T32="不适用",0,IF(T32="满分档",10,IF(T32="中间档",5,0))))</x:f>
      </x:c>
      <x:c r="AG32" s="174" t="str">
        <x:f>IF(U32="","",IF(U32="不适用",0,IF(U32="满分档",30,IF(U32="中间档",15,0))))</x:f>
      </x:c>
      <x:c r="AH32" s="174" t="str">
        <x:f>IF(W32="","",IF(W32="满分档",25,IF(W32="中间档",15,0)))</x:f>
      </x:c>
      <x:c r="AI32" s="174" t="str">
        <x:f>IF(Y32="","",IF(Y32="满分档",25,IF(Y32="中间档",15,0)))</x:f>
      </x:c>
      <x:c r="AJ32" s="174" t="str">
        <x:f>IF(Z32="","",IF(Z32="不适用",0,IF(Z32="满分档",10,IF(Z32="中间档",5,0))))</x:f>
      </x:c>
      <x:c r="AK32" s="168"/>
      <x:c r="AL32" s="165"/>
      <x:c r="AM32" s="168"/>
      <x:c r="AN32" s="165"/>
      <x:c r="AO32" s="171"/>
      <x:c r="AP32" s="171"/>
      <x:c r="AQ32" s="174" t="str">
        <x:f>IF(M32&lt;&gt;"是","",IF(AL32="","",IF(AL32="突出档",10,IF(AL32="达标档",6,0))))</x:f>
      </x:c>
      <x:c r="AR32" s="174" t="str">
        <x:f>IF(M32&lt;&gt;"是","",IF(AN32="","",IF(AN32="突出档",10,IF(AN32="达标档",6,0))))</x:f>
      </x:c>
      <x:c r="AS32" s="174" t="str">
        <x:f>IF(M32&lt;&gt;"是","",IF(OR(AQ32="",AR32=""),"",SUM(AQ32:AR32)))</x:f>
      </x:c>
      <x:c r="AT32" s="174" t="str">
        <x:f>IF(M32&lt;&gt;"是","",IF(OR(AL32="",AN32=""),"",IF(OR(AL32="0分档",AN32="0分档"),"主席履职待改进",IF(AND(AL32="突出档",AN32="突出档"),"主席履职突出","主席履职合格"))))</x:f>
      </x:c>
      <x:c r="AU32" s="174" t="str">
        <x:f>IF(OR(T32="",U32="",W32="",Y32="",Z32=""),"",IF(T32="不适用",0,10)+IF(U32="不适用",0,30)+25+25+IF(Z32="不适用",0,10))</x:f>
      </x:c>
      <x:c r="AV32" s="174" t="str">
        <x:f>IF(AU32="","",SUM(AF32:AJ32))</x:f>
      </x:c>
      <x:c r="AW32" s="186" t="str">
        <x:f>IF(AU32="","",ROUND(AV32/AU32*100,1))</x:f>
      </x:c>
      <x:c r="AX32" s="174" t="str">
        <x:f>IF(OR(AH32="",AI32=""),"",AH32+AI32)</x:f>
      </x:c>
      <x:c r="AY32" s="174" t="str">
        <x:f>IF(AX32="","",IF(AX32&lt;30,"未达标","达到门槛"))</x:f>
      </x:c>
      <x:c r="AZ32" s="174" t="str">
        <x:f>IF(A32="","",IF(OR(O32="仅挂会无有效参与",O32="缺席"),"是","否"))</x:f>
      </x:c>
      <x:c r="BA32" s="186" t="str">
        <x:f>IF(A32="","",IF(AZ32="是",0,AW32))</x:f>
      </x:c>
      <x:c r="BB32" s="174"/>
      <x:c r="BC32" s="186"/>
      <x:c r="BD32" s="186" t="str">
        <x:f>IF(A32="","",BA32)</x:f>
      </x:c>
      <x:c r="BE32" s="161"/>
      <x:c r="BF32" s="161"/>
      <x:c r="BG32" s="161"/>
      <x:c r="BH32" s="180"/>
      <x:c r="BI32" s="183"/>
    </x:row>
    <x:row r="33" ht="32" customHeight="1">
      <x:c r="A33" s="160"/>
      <x:c r="B33" s="161"/>
      <x:c r="C33" s="161"/>
      <x:c r="D33" s="161"/>
      <x:c r="E33" s="161"/>
      <x:c r="F33" s="180"/>
      <x:c r="G33" s="161" t="str">
        <x:f>IF(F33="","","H"&amp;IF(MONTH(F33)&lt;=6,1,2))</x:f>
      </x:c>
      <x:c r="H33" s="161"/>
      <x:c r="I33" s="161"/>
      <x:c r="J33" s="161"/>
      <x:c r="K33" s="161"/>
      <x:c r="L33" s="161"/>
      <x:c r="M33" s="161"/>
      <x:c r="N33" s="161"/>
      <x:c r="O33" s="161"/>
      <x:c r="P33" s="161"/>
      <x:c r="Q33" s="161"/>
      <x:c r="R33" s="161"/>
      <x:c r="S33" s="161"/>
      <x:c r="T33" s="165"/>
      <x:c r="U33" s="165"/>
      <x:c r="V33" s="168"/>
      <x:c r="W33" s="165"/>
      <x:c r="X33" s="168"/>
      <x:c r="Y33" s="165"/>
      <x:c r="Z33" s="165"/>
      <x:c r="AA33" s="171"/>
      <x:c r="AB33" s="171"/>
      <x:c r="AC33" s="171"/>
      <x:c r="AD33" s="171"/>
      <x:c r="AE33" s="171"/>
      <x:c r="AF33" s="174" t="str">
        <x:f>IF(T33="","",IF(T33="不适用",0,IF(T33="满分档",10,IF(T33="中间档",5,0))))</x:f>
      </x:c>
      <x:c r="AG33" s="174" t="str">
        <x:f>IF(U33="","",IF(U33="不适用",0,IF(U33="满分档",30,IF(U33="中间档",15,0))))</x:f>
      </x:c>
      <x:c r="AH33" s="174" t="str">
        <x:f>IF(W33="","",IF(W33="满分档",25,IF(W33="中间档",15,0)))</x:f>
      </x:c>
      <x:c r="AI33" s="174" t="str">
        <x:f>IF(Y33="","",IF(Y33="满分档",25,IF(Y33="中间档",15,0)))</x:f>
      </x:c>
      <x:c r="AJ33" s="174" t="str">
        <x:f>IF(Z33="","",IF(Z33="不适用",0,IF(Z33="满分档",10,IF(Z33="中间档",5,0))))</x:f>
      </x:c>
      <x:c r="AK33" s="168"/>
      <x:c r="AL33" s="165"/>
      <x:c r="AM33" s="168"/>
      <x:c r="AN33" s="165"/>
      <x:c r="AO33" s="171"/>
      <x:c r="AP33" s="171"/>
      <x:c r="AQ33" s="174" t="str">
        <x:f>IF(M33&lt;&gt;"是","",IF(AL33="","",IF(AL33="突出档",10,IF(AL33="达标档",6,0))))</x:f>
      </x:c>
      <x:c r="AR33" s="174" t="str">
        <x:f>IF(M33&lt;&gt;"是","",IF(AN33="","",IF(AN33="突出档",10,IF(AN33="达标档",6,0))))</x:f>
      </x:c>
      <x:c r="AS33" s="174" t="str">
        <x:f>IF(M33&lt;&gt;"是","",IF(OR(AQ33="",AR33=""),"",SUM(AQ33:AR33)))</x:f>
      </x:c>
      <x:c r="AT33" s="174" t="str">
        <x:f>IF(M33&lt;&gt;"是","",IF(OR(AL33="",AN33=""),"",IF(OR(AL33="0分档",AN33="0分档"),"主席履职待改进",IF(AND(AL33="突出档",AN33="突出档"),"主席履职突出","主席履职合格"))))</x:f>
      </x:c>
      <x:c r="AU33" s="174" t="str">
        <x:f>IF(OR(T33="",U33="",W33="",Y33="",Z33=""),"",IF(T33="不适用",0,10)+IF(U33="不适用",0,30)+25+25+IF(Z33="不适用",0,10))</x:f>
      </x:c>
      <x:c r="AV33" s="174" t="str">
        <x:f>IF(AU33="","",SUM(AF33:AJ33))</x:f>
      </x:c>
      <x:c r="AW33" s="186" t="str">
        <x:f>IF(AU33="","",ROUND(AV33/AU33*100,1))</x:f>
      </x:c>
      <x:c r="AX33" s="174" t="str">
        <x:f>IF(OR(AH33="",AI33=""),"",AH33+AI33)</x:f>
      </x:c>
      <x:c r="AY33" s="174" t="str">
        <x:f>IF(AX33="","",IF(AX33&lt;30,"未达标","达到门槛"))</x:f>
      </x:c>
      <x:c r="AZ33" s="174" t="str">
        <x:f>IF(A33="","",IF(OR(O33="仅挂会无有效参与",O33="缺席"),"是","否"))</x:f>
      </x:c>
      <x:c r="BA33" s="186" t="str">
        <x:f>IF(A33="","",IF(AZ33="是",0,AW33))</x:f>
      </x:c>
      <x:c r="BB33" s="174"/>
      <x:c r="BC33" s="186"/>
      <x:c r="BD33" s="186" t="str">
        <x:f>IF(A33="","",BA33)</x:f>
      </x:c>
      <x:c r="BE33" s="161"/>
      <x:c r="BF33" s="161"/>
      <x:c r="BG33" s="161"/>
      <x:c r="BH33" s="180"/>
      <x:c r="BI33" s="183"/>
    </x:row>
    <x:row r="34" ht="32" customHeight="1">
      <x:c r="A34" s="160"/>
      <x:c r="B34" s="161"/>
      <x:c r="C34" s="161"/>
      <x:c r="D34" s="161"/>
      <x:c r="E34" s="161"/>
      <x:c r="F34" s="180"/>
      <x:c r="G34" s="161" t="str">
        <x:f>IF(F34="","","H"&amp;IF(MONTH(F34)&lt;=6,1,2))</x:f>
      </x:c>
      <x:c r="H34" s="161"/>
      <x:c r="I34" s="161"/>
      <x:c r="J34" s="161"/>
      <x:c r="K34" s="161"/>
      <x:c r="L34" s="161"/>
      <x:c r="M34" s="161"/>
      <x:c r="N34" s="161"/>
      <x:c r="O34" s="161"/>
      <x:c r="P34" s="161"/>
      <x:c r="Q34" s="161"/>
      <x:c r="R34" s="161"/>
      <x:c r="S34" s="161"/>
      <x:c r="T34" s="165"/>
      <x:c r="U34" s="165"/>
      <x:c r="V34" s="168"/>
      <x:c r="W34" s="165"/>
      <x:c r="X34" s="168"/>
      <x:c r="Y34" s="165"/>
      <x:c r="Z34" s="165"/>
      <x:c r="AA34" s="171"/>
      <x:c r="AB34" s="171"/>
      <x:c r="AC34" s="171"/>
      <x:c r="AD34" s="171"/>
      <x:c r="AE34" s="171"/>
      <x:c r="AF34" s="174" t="str">
        <x:f>IF(T34="","",IF(T34="不适用",0,IF(T34="满分档",10,IF(T34="中间档",5,0))))</x:f>
      </x:c>
      <x:c r="AG34" s="174" t="str">
        <x:f>IF(U34="","",IF(U34="不适用",0,IF(U34="满分档",30,IF(U34="中间档",15,0))))</x:f>
      </x:c>
      <x:c r="AH34" s="174" t="str">
        <x:f>IF(W34="","",IF(W34="满分档",25,IF(W34="中间档",15,0)))</x:f>
      </x:c>
      <x:c r="AI34" s="174" t="str">
        <x:f>IF(Y34="","",IF(Y34="满分档",25,IF(Y34="中间档",15,0)))</x:f>
      </x:c>
      <x:c r="AJ34" s="174" t="str">
        <x:f>IF(Z34="","",IF(Z34="不适用",0,IF(Z34="满分档",10,IF(Z34="中间档",5,0))))</x:f>
      </x:c>
      <x:c r="AK34" s="168"/>
      <x:c r="AL34" s="165"/>
      <x:c r="AM34" s="168"/>
      <x:c r="AN34" s="165"/>
      <x:c r="AO34" s="171"/>
      <x:c r="AP34" s="171"/>
      <x:c r="AQ34" s="174" t="str">
        <x:f>IF(M34&lt;&gt;"是","",IF(AL34="","",IF(AL34="突出档",10,IF(AL34="达标档",6,0))))</x:f>
      </x:c>
      <x:c r="AR34" s="174" t="str">
        <x:f>IF(M34&lt;&gt;"是","",IF(AN34="","",IF(AN34="突出档",10,IF(AN34="达标档",6,0))))</x:f>
      </x:c>
      <x:c r="AS34" s="174" t="str">
        <x:f>IF(M34&lt;&gt;"是","",IF(OR(AQ34="",AR34=""),"",SUM(AQ34:AR34)))</x:f>
      </x:c>
      <x:c r="AT34" s="174" t="str">
        <x:f>IF(M34&lt;&gt;"是","",IF(OR(AL34="",AN34=""),"",IF(OR(AL34="0分档",AN34="0分档"),"主席履职待改进",IF(AND(AL34="突出档",AN34="突出档"),"主席履职突出","主席履职合格"))))</x:f>
      </x:c>
      <x:c r="AU34" s="174" t="str">
        <x:f>IF(OR(T34="",U34="",W34="",Y34="",Z34=""),"",IF(T34="不适用",0,10)+IF(U34="不适用",0,30)+25+25+IF(Z34="不适用",0,10))</x:f>
      </x:c>
      <x:c r="AV34" s="174" t="str">
        <x:f>IF(AU34="","",SUM(AF34:AJ34))</x:f>
      </x:c>
      <x:c r="AW34" s="186" t="str">
        <x:f>IF(AU34="","",ROUND(AV34/AU34*100,1))</x:f>
      </x:c>
      <x:c r="AX34" s="174" t="str">
        <x:f>IF(OR(AH34="",AI34=""),"",AH34+AI34)</x:f>
      </x:c>
      <x:c r="AY34" s="174" t="str">
        <x:f>IF(AX34="","",IF(AX34&lt;30,"未达标","达到门槛"))</x:f>
      </x:c>
      <x:c r="AZ34" s="174" t="str">
        <x:f>IF(A34="","",IF(OR(O34="仅挂会无有效参与",O34="缺席"),"是","否"))</x:f>
      </x:c>
      <x:c r="BA34" s="186" t="str">
        <x:f>IF(A34="","",IF(AZ34="是",0,AW34))</x:f>
      </x:c>
      <x:c r="BB34" s="174"/>
      <x:c r="BC34" s="186"/>
      <x:c r="BD34" s="186" t="str">
        <x:f>IF(A34="","",BA34)</x:f>
      </x:c>
      <x:c r="BE34" s="161"/>
      <x:c r="BF34" s="161"/>
      <x:c r="BG34" s="161"/>
      <x:c r="BH34" s="180"/>
      <x:c r="BI34" s="183"/>
    </x:row>
    <x:row r="35" ht="32" customHeight="1">
      <x:c r="A35" s="160"/>
      <x:c r="B35" s="161"/>
      <x:c r="C35" s="161"/>
      <x:c r="D35" s="161"/>
      <x:c r="E35" s="161"/>
      <x:c r="F35" s="180"/>
      <x:c r="G35" s="161" t="str">
        <x:f>IF(F35="","","H"&amp;IF(MONTH(F35)&lt;=6,1,2))</x:f>
      </x:c>
      <x:c r="H35" s="161"/>
      <x:c r="I35" s="161"/>
      <x:c r="J35" s="161"/>
      <x:c r="K35" s="161"/>
      <x:c r="L35" s="161"/>
      <x:c r="M35" s="161"/>
      <x:c r="N35" s="161"/>
      <x:c r="O35" s="161"/>
      <x:c r="P35" s="161"/>
      <x:c r="Q35" s="161"/>
      <x:c r="R35" s="161"/>
      <x:c r="S35" s="161"/>
      <x:c r="T35" s="165"/>
      <x:c r="U35" s="165"/>
      <x:c r="V35" s="168"/>
      <x:c r="W35" s="165"/>
      <x:c r="X35" s="168"/>
      <x:c r="Y35" s="165"/>
      <x:c r="Z35" s="165"/>
      <x:c r="AA35" s="171"/>
      <x:c r="AB35" s="171"/>
      <x:c r="AC35" s="171"/>
      <x:c r="AD35" s="171"/>
      <x:c r="AE35" s="171"/>
      <x:c r="AF35" s="174" t="str">
        <x:f>IF(T35="","",IF(T35="不适用",0,IF(T35="满分档",10,IF(T35="中间档",5,0))))</x:f>
      </x:c>
      <x:c r="AG35" s="174" t="str">
        <x:f>IF(U35="","",IF(U35="不适用",0,IF(U35="满分档",30,IF(U35="中间档",15,0))))</x:f>
      </x:c>
      <x:c r="AH35" s="174" t="str">
        <x:f>IF(W35="","",IF(W35="满分档",25,IF(W35="中间档",15,0)))</x:f>
      </x:c>
      <x:c r="AI35" s="174" t="str">
        <x:f>IF(Y35="","",IF(Y35="满分档",25,IF(Y35="中间档",15,0)))</x:f>
      </x:c>
      <x:c r="AJ35" s="174" t="str">
        <x:f>IF(Z35="","",IF(Z35="不适用",0,IF(Z35="满分档",10,IF(Z35="中间档",5,0))))</x:f>
      </x:c>
      <x:c r="AK35" s="168"/>
      <x:c r="AL35" s="165"/>
      <x:c r="AM35" s="168"/>
      <x:c r="AN35" s="165"/>
      <x:c r="AO35" s="171"/>
      <x:c r="AP35" s="171"/>
      <x:c r="AQ35" s="174" t="str">
        <x:f>IF(M35&lt;&gt;"是","",IF(AL35="","",IF(AL35="突出档",10,IF(AL35="达标档",6,0))))</x:f>
      </x:c>
      <x:c r="AR35" s="174" t="str">
        <x:f>IF(M35&lt;&gt;"是","",IF(AN35="","",IF(AN35="突出档",10,IF(AN35="达标档",6,0))))</x:f>
      </x:c>
      <x:c r="AS35" s="174" t="str">
        <x:f>IF(M35&lt;&gt;"是","",IF(OR(AQ35="",AR35=""),"",SUM(AQ35:AR35)))</x:f>
      </x:c>
      <x:c r="AT35" s="174" t="str">
        <x:f>IF(M35&lt;&gt;"是","",IF(OR(AL35="",AN35=""),"",IF(OR(AL35="0分档",AN35="0分档"),"主席履职待改进",IF(AND(AL35="突出档",AN35="突出档"),"主席履职突出","主席履职合格"))))</x:f>
      </x:c>
      <x:c r="AU35" s="174" t="str">
        <x:f>IF(OR(T35="",U35="",W35="",Y35="",Z35=""),"",IF(T35="不适用",0,10)+IF(U35="不适用",0,30)+25+25+IF(Z35="不适用",0,10))</x:f>
      </x:c>
      <x:c r="AV35" s="174" t="str">
        <x:f>IF(AU35="","",SUM(AF35:AJ35))</x:f>
      </x:c>
      <x:c r="AW35" s="186" t="str">
        <x:f>IF(AU35="","",ROUND(AV35/AU35*100,1))</x:f>
      </x:c>
      <x:c r="AX35" s="174" t="str">
        <x:f>IF(OR(AH35="",AI35=""),"",AH35+AI35)</x:f>
      </x:c>
      <x:c r="AY35" s="174" t="str">
        <x:f>IF(AX35="","",IF(AX35&lt;30,"未达标","达到门槛"))</x:f>
      </x:c>
      <x:c r="AZ35" s="174" t="str">
        <x:f>IF(A35="","",IF(OR(O35="仅挂会无有效参与",O35="缺席"),"是","否"))</x:f>
      </x:c>
      <x:c r="BA35" s="186" t="str">
        <x:f>IF(A35="","",IF(AZ35="是",0,AW35))</x:f>
      </x:c>
      <x:c r="BB35" s="174"/>
      <x:c r="BC35" s="186"/>
      <x:c r="BD35" s="186" t="str">
        <x:f>IF(A35="","",BA35)</x:f>
      </x:c>
      <x:c r="BE35" s="161"/>
      <x:c r="BF35" s="161"/>
      <x:c r="BG35" s="161"/>
      <x:c r="BH35" s="180"/>
      <x:c r="BI35" s="183"/>
    </x:row>
    <x:row r="36" ht="32" customHeight="1">
      <x:c r="A36" s="160"/>
      <x:c r="B36" s="161"/>
      <x:c r="C36" s="161"/>
      <x:c r="D36" s="161"/>
      <x:c r="E36" s="161"/>
      <x:c r="F36" s="180"/>
      <x:c r="G36" s="161" t="str">
        <x:f>IF(F36="","","H"&amp;IF(MONTH(F36)&lt;=6,1,2))</x:f>
      </x:c>
      <x:c r="H36" s="161"/>
      <x:c r="I36" s="161"/>
      <x:c r="J36" s="161"/>
      <x:c r="K36" s="161"/>
      <x:c r="L36" s="161"/>
      <x:c r="M36" s="161"/>
      <x:c r="N36" s="161"/>
      <x:c r="O36" s="161"/>
      <x:c r="P36" s="161"/>
      <x:c r="Q36" s="161"/>
      <x:c r="R36" s="161"/>
      <x:c r="S36" s="161"/>
      <x:c r="T36" s="165"/>
      <x:c r="U36" s="165"/>
      <x:c r="V36" s="168"/>
      <x:c r="W36" s="165"/>
      <x:c r="X36" s="168"/>
      <x:c r="Y36" s="165"/>
      <x:c r="Z36" s="165"/>
      <x:c r="AA36" s="171"/>
      <x:c r="AB36" s="171"/>
      <x:c r="AC36" s="171"/>
      <x:c r="AD36" s="171"/>
      <x:c r="AE36" s="171"/>
      <x:c r="AF36" s="174" t="str">
        <x:f>IF(T36="","",IF(T36="不适用",0,IF(T36="满分档",10,IF(T36="中间档",5,0))))</x:f>
      </x:c>
      <x:c r="AG36" s="174" t="str">
        <x:f>IF(U36="","",IF(U36="不适用",0,IF(U36="满分档",30,IF(U36="中间档",15,0))))</x:f>
      </x:c>
      <x:c r="AH36" s="174" t="str">
        <x:f>IF(W36="","",IF(W36="满分档",25,IF(W36="中间档",15,0)))</x:f>
      </x:c>
      <x:c r="AI36" s="174" t="str">
        <x:f>IF(Y36="","",IF(Y36="满分档",25,IF(Y36="中间档",15,0)))</x:f>
      </x:c>
      <x:c r="AJ36" s="174" t="str">
        <x:f>IF(Z36="","",IF(Z36="不适用",0,IF(Z36="满分档",10,IF(Z36="中间档",5,0))))</x:f>
      </x:c>
      <x:c r="AK36" s="168"/>
      <x:c r="AL36" s="165"/>
      <x:c r="AM36" s="168"/>
      <x:c r="AN36" s="165"/>
      <x:c r="AO36" s="171"/>
      <x:c r="AP36" s="171"/>
      <x:c r="AQ36" s="174" t="str">
        <x:f>IF(M36&lt;&gt;"是","",IF(AL36="","",IF(AL36="突出档",10,IF(AL36="达标档",6,0))))</x:f>
      </x:c>
      <x:c r="AR36" s="174" t="str">
        <x:f>IF(M36&lt;&gt;"是","",IF(AN36="","",IF(AN36="突出档",10,IF(AN36="达标档",6,0))))</x:f>
      </x:c>
      <x:c r="AS36" s="174" t="str">
        <x:f>IF(M36&lt;&gt;"是","",IF(OR(AQ36="",AR36=""),"",SUM(AQ36:AR36)))</x:f>
      </x:c>
      <x:c r="AT36" s="174" t="str">
        <x:f>IF(M36&lt;&gt;"是","",IF(OR(AL36="",AN36=""),"",IF(OR(AL36="0分档",AN36="0分档"),"主席履职待改进",IF(AND(AL36="突出档",AN36="突出档"),"主席履职突出","主席履职合格"))))</x:f>
      </x:c>
      <x:c r="AU36" s="174" t="str">
        <x:f>IF(OR(T36="",U36="",W36="",Y36="",Z36=""),"",IF(T36="不适用",0,10)+IF(U36="不适用",0,30)+25+25+IF(Z36="不适用",0,10))</x:f>
      </x:c>
      <x:c r="AV36" s="174" t="str">
        <x:f>IF(AU36="","",SUM(AF36:AJ36))</x:f>
      </x:c>
      <x:c r="AW36" s="186" t="str">
        <x:f>IF(AU36="","",ROUND(AV36/AU36*100,1))</x:f>
      </x:c>
      <x:c r="AX36" s="174" t="str">
        <x:f>IF(OR(AH36="",AI36=""),"",AH36+AI36)</x:f>
      </x:c>
      <x:c r="AY36" s="174" t="str">
        <x:f>IF(AX36="","",IF(AX36&lt;30,"未达标","达到门槛"))</x:f>
      </x:c>
      <x:c r="AZ36" s="174" t="str">
        <x:f>IF(A36="","",IF(OR(O36="仅挂会无有效参与",O36="缺席"),"是","否"))</x:f>
      </x:c>
      <x:c r="BA36" s="186" t="str">
        <x:f>IF(A36="","",IF(AZ36="是",0,AW36))</x:f>
      </x:c>
      <x:c r="BB36" s="174"/>
      <x:c r="BC36" s="186"/>
      <x:c r="BD36" s="186" t="str">
        <x:f>IF(A36="","",BA36)</x:f>
      </x:c>
      <x:c r="BE36" s="161"/>
      <x:c r="BF36" s="161"/>
      <x:c r="BG36" s="161"/>
      <x:c r="BH36" s="180"/>
      <x:c r="BI36" s="183"/>
    </x:row>
    <x:row r="37" ht="32" customHeight="1">
      <x:c r="A37" s="160"/>
      <x:c r="B37" s="161"/>
      <x:c r="C37" s="161"/>
      <x:c r="D37" s="161"/>
      <x:c r="E37" s="161"/>
      <x:c r="F37" s="180"/>
      <x:c r="G37" s="161" t="str">
        <x:f>IF(F37="","","H"&amp;IF(MONTH(F37)&lt;=6,1,2))</x:f>
      </x:c>
      <x:c r="H37" s="161"/>
      <x:c r="I37" s="161"/>
      <x:c r="J37" s="161"/>
      <x:c r="K37" s="161"/>
      <x:c r="L37" s="161"/>
      <x:c r="M37" s="161"/>
      <x:c r="N37" s="161"/>
      <x:c r="O37" s="161"/>
      <x:c r="P37" s="161"/>
      <x:c r="Q37" s="161"/>
      <x:c r="R37" s="161"/>
      <x:c r="S37" s="161"/>
      <x:c r="T37" s="165"/>
      <x:c r="U37" s="165"/>
      <x:c r="V37" s="168"/>
      <x:c r="W37" s="165"/>
      <x:c r="X37" s="168"/>
      <x:c r="Y37" s="165"/>
      <x:c r="Z37" s="165"/>
      <x:c r="AA37" s="171"/>
      <x:c r="AB37" s="171"/>
      <x:c r="AC37" s="171"/>
      <x:c r="AD37" s="171"/>
      <x:c r="AE37" s="171"/>
      <x:c r="AF37" s="174" t="str">
        <x:f>IF(T37="","",IF(T37="不适用",0,IF(T37="满分档",10,IF(T37="中间档",5,0))))</x:f>
      </x:c>
      <x:c r="AG37" s="174" t="str">
        <x:f>IF(U37="","",IF(U37="不适用",0,IF(U37="满分档",30,IF(U37="中间档",15,0))))</x:f>
      </x:c>
      <x:c r="AH37" s="174" t="str">
        <x:f>IF(W37="","",IF(W37="满分档",25,IF(W37="中间档",15,0)))</x:f>
      </x:c>
      <x:c r="AI37" s="174" t="str">
        <x:f>IF(Y37="","",IF(Y37="满分档",25,IF(Y37="中间档",15,0)))</x:f>
      </x:c>
      <x:c r="AJ37" s="174" t="str">
        <x:f>IF(Z37="","",IF(Z37="不适用",0,IF(Z37="满分档",10,IF(Z37="中间档",5,0))))</x:f>
      </x:c>
      <x:c r="AK37" s="168"/>
      <x:c r="AL37" s="165"/>
      <x:c r="AM37" s="168"/>
      <x:c r="AN37" s="165"/>
      <x:c r="AO37" s="171"/>
      <x:c r="AP37" s="171"/>
      <x:c r="AQ37" s="174" t="str">
        <x:f>IF(M37&lt;&gt;"是","",IF(AL37="","",IF(AL37="突出档",10,IF(AL37="达标档",6,0))))</x:f>
      </x:c>
      <x:c r="AR37" s="174" t="str">
        <x:f>IF(M37&lt;&gt;"是","",IF(AN37="","",IF(AN37="突出档",10,IF(AN37="达标档",6,0))))</x:f>
      </x:c>
      <x:c r="AS37" s="174" t="str">
        <x:f>IF(M37&lt;&gt;"是","",IF(OR(AQ37="",AR37=""),"",SUM(AQ37:AR37)))</x:f>
      </x:c>
      <x:c r="AT37" s="174" t="str">
        <x:f>IF(M37&lt;&gt;"是","",IF(OR(AL37="",AN37=""),"",IF(OR(AL37="0分档",AN37="0分档"),"主席履职待改进",IF(AND(AL37="突出档",AN37="突出档"),"主席履职突出","主席履职合格"))))</x:f>
      </x:c>
      <x:c r="AU37" s="174" t="str">
        <x:f>IF(OR(T37="",U37="",W37="",Y37="",Z37=""),"",IF(T37="不适用",0,10)+IF(U37="不适用",0,30)+25+25+IF(Z37="不适用",0,10))</x:f>
      </x:c>
      <x:c r="AV37" s="174" t="str">
        <x:f>IF(AU37="","",SUM(AF37:AJ37))</x:f>
      </x:c>
      <x:c r="AW37" s="186" t="str">
        <x:f>IF(AU37="","",ROUND(AV37/AU37*100,1))</x:f>
      </x:c>
      <x:c r="AX37" s="174" t="str">
        <x:f>IF(OR(AH37="",AI37=""),"",AH37+AI37)</x:f>
      </x:c>
      <x:c r="AY37" s="174" t="str">
        <x:f>IF(AX37="","",IF(AX37&lt;30,"未达标","达到门槛"))</x:f>
      </x:c>
      <x:c r="AZ37" s="174" t="str">
        <x:f>IF(A37="","",IF(OR(O37="仅挂会无有效参与",O37="缺席"),"是","否"))</x:f>
      </x:c>
      <x:c r="BA37" s="186" t="str">
        <x:f>IF(A37="","",IF(AZ37="是",0,AW37))</x:f>
      </x:c>
      <x:c r="BB37" s="174"/>
      <x:c r="BC37" s="186"/>
      <x:c r="BD37" s="186" t="str">
        <x:f>IF(A37="","",BA37)</x:f>
      </x:c>
      <x:c r="BE37" s="161"/>
      <x:c r="BF37" s="161"/>
      <x:c r="BG37" s="161"/>
      <x:c r="BH37" s="180"/>
      <x:c r="BI37" s="183"/>
    </x:row>
    <x:row r="38" ht="32" customHeight="1">
      <x:c r="A38" s="160"/>
      <x:c r="B38" s="161"/>
      <x:c r="C38" s="161"/>
      <x:c r="D38" s="161"/>
      <x:c r="E38" s="161"/>
      <x:c r="F38" s="180"/>
      <x:c r="G38" s="161" t="str">
        <x:f>IF(F38="","","H"&amp;IF(MONTH(F38)&lt;=6,1,2))</x:f>
      </x:c>
      <x:c r="H38" s="161"/>
      <x:c r="I38" s="161"/>
      <x:c r="J38" s="161"/>
      <x:c r="K38" s="161"/>
      <x:c r="L38" s="161"/>
      <x:c r="M38" s="161"/>
      <x:c r="N38" s="161"/>
      <x:c r="O38" s="161"/>
      <x:c r="P38" s="161"/>
      <x:c r="Q38" s="161"/>
      <x:c r="R38" s="161"/>
      <x:c r="S38" s="161"/>
      <x:c r="T38" s="165"/>
      <x:c r="U38" s="165"/>
      <x:c r="V38" s="168"/>
      <x:c r="W38" s="165"/>
      <x:c r="X38" s="168"/>
      <x:c r="Y38" s="165"/>
      <x:c r="Z38" s="165"/>
      <x:c r="AA38" s="171"/>
      <x:c r="AB38" s="171"/>
      <x:c r="AC38" s="171"/>
      <x:c r="AD38" s="171"/>
      <x:c r="AE38" s="171"/>
      <x:c r="AF38" s="174" t="str">
        <x:f>IF(T38="","",IF(T38="不适用",0,IF(T38="满分档",10,IF(T38="中间档",5,0))))</x:f>
      </x:c>
      <x:c r="AG38" s="174" t="str">
        <x:f>IF(U38="","",IF(U38="不适用",0,IF(U38="满分档",30,IF(U38="中间档",15,0))))</x:f>
      </x:c>
      <x:c r="AH38" s="174" t="str">
        <x:f>IF(W38="","",IF(W38="满分档",25,IF(W38="中间档",15,0)))</x:f>
      </x:c>
      <x:c r="AI38" s="174" t="str">
        <x:f>IF(Y38="","",IF(Y38="满分档",25,IF(Y38="中间档",15,0)))</x:f>
      </x:c>
      <x:c r="AJ38" s="174" t="str">
        <x:f>IF(Z38="","",IF(Z38="不适用",0,IF(Z38="满分档",10,IF(Z38="中间档",5,0))))</x:f>
      </x:c>
      <x:c r="AK38" s="168"/>
      <x:c r="AL38" s="165"/>
      <x:c r="AM38" s="168"/>
      <x:c r="AN38" s="165"/>
      <x:c r="AO38" s="171"/>
      <x:c r="AP38" s="171"/>
      <x:c r="AQ38" s="174" t="str">
        <x:f>IF(M38&lt;&gt;"是","",IF(AL38="","",IF(AL38="突出档",10,IF(AL38="达标档",6,0))))</x:f>
      </x:c>
      <x:c r="AR38" s="174" t="str">
        <x:f>IF(M38&lt;&gt;"是","",IF(AN38="","",IF(AN38="突出档",10,IF(AN38="达标档",6,0))))</x:f>
      </x:c>
      <x:c r="AS38" s="174" t="str">
        <x:f>IF(M38&lt;&gt;"是","",IF(OR(AQ38="",AR38=""),"",SUM(AQ38:AR38)))</x:f>
      </x:c>
      <x:c r="AT38" s="174" t="str">
        <x:f>IF(M38&lt;&gt;"是","",IF(OR(AL38="",AN38=""),"",IF(OR(AL38="0分档",AN38="0分档"),"主席履职待改进",IF(AND(AL38="突出档",AN38="突出档"),"主席履职突出","主席履职合格"))))</x:f>
      </x:c>
      <x:c r="AU38" s="174" t="str">
        <x:f>IF(OR(T38="",U38="",W38="",Y38="",Z38=""),"",IF(T38="不适用",0,10)+IF(U38="不适用",0,30)+25+25+IF(Z38="不适用",0,10))</x:f>
      </x:c>
      <x:c r="AV38" s="174" t="str">
        <x:f>IF(AU38="","",SUM(AF38:AJ38))</x:f>
      </x:c>
      <x:c r="AW38" s="186" t="str">
        <x:f>IF(AU38="","",ROUND(AV38/AU38*100,1))</x:f>
      </x:c>
      <x:c r="AX38" s="174" t="str">
        <x:f>IF(OR(AH38="",AI38=""),"",AH38+AI38)</x:f>
      </x:c>
      <x:c r="AY38" s="174" t="str">
        <x:f>IF(AX38="","",IF(AX38&lt;30,"未达标","达到门槛"))</x:f>
      </x:c>
      <x:c r="AZ38" s="174" t="str">
        <x:f>IF(A38="","",IF(OR(O38="仅挂会无有效参与",O38="缺席"),"是","否"))</x:f>
      </x:c>
      <x:c r="BA38" s="186" t="str">
        <x:f>IF(A38="","",IF(AZ38="是",0,AW38))</x:f>
      </x:c>
      <x:c r="BB38" s="174"/>
      <x:c r="BC38" s="186"/>
      <x:c r="BD38" s="186" t="str">
        <x:f>IF(A38="","",BA38)</x:f>
      </x:c>
      <x:c r="BE38" s="161"/>
      <x:c r="BF38" s="161"/>
      <x:c r="BG38" s="161"/>
      <x:c r="BH38" s="180"/>
      <x:c r="BI38" s="183"/>
    </x:row>
    <x:row r="39" ht="32" customHeight="1">
      <x:c r="A39" s="160"/>
      <x:c r="B39" s="161"/>
      <x:c r="C39" s="161"/>
      <x:c r="D39" s="161"/>
      <x:c r="E39" s="161"/>
      <x:c r="F39" s="180"/>
      <x:c r="G39" s="161" t="str">
        <x:f>IF(F39="","","H"&amp;IF(MONTH(F39)&lt;=6,1,2))</x:f>
      </x:c>
      <x:c r="H39" s="161"/>
      <x:c r="I39" s="161"/>
      <x:c r="J39" s="161"/>
      <x:c r="K39" s="161"/>
      <x:c r="L39" s="161"/>
      <x:c r="M39" s="161"/>
      <x:c r="N39" s="161"/>
      <x:c r="O39" s="161"/>
      <x:c r="P39" s="161"/>
      <x:c r="Q39" s="161"/>
      <x:c r="R39" s="161"/>
      <x:c r="S39" s="161"/>
      <x:c r="T39" s="165"/>
      <x:c r="U39" s="165"/>
      <x:c r="V39" s="168"/>
      <x:c r="W39" s="165"/>
      <x:c r="X39" s="168"/>
      <x:c r="Y39" s="165"/>
      <x:c r="Z39" s="165"/>
      <x:c r="AA39" s="171"/>
      <x:c r="AB39" s="171"/>
      <x:c r="AC39" s="171"/>
      <x:c r="AD39" s="171"/>
      <x:c r="AE39" s="171"/>
      <x:c r="AF39" s="174" t="str">
        <x:f>IF(T39="","",IF(T39="不适用",0,IF(T39="满分档",10,IF(T39="中间档",5,0))))</x:f>
      </x:c>
      <x:c r="AG39" s="174" t="str">
        <x:f>IF(U39="","",IF(U39="不适用",0,IF(U39="满分档",30,IF(U39="中间档",15,0))))</x:f>
      </x:c>
      <x:c r="AH39" s="174" t="str">
        <x:f>IF(W39="","",IF(W39="满分档",25,IF(W39="中间档",15,0)))</x:f>
      </x:c>
      <x:c r="AI39" s="174" t="str">
        <x:f>IF(Y39="","",IF(Y39="满分档",25,IF(Y39="中间档",15,0)))</x:f>
      </x:c>
      <x:c r="AJ39" s="174" t="str">
        <x:f>IF(Z39="","",IF(Z39="不适用",0,IF(Z39="满分档",10,IF(Z39="中间档",5,0))))</x:f>
      </x:c>
      <x:c r="AK39" s="168"/>
      <x:c r="AL39" s="165"/>
      <x:c r="AM39" s="168"/>
      <x:c r="AN39" s="165"/>
      <x:c r="AO39" s="171"/>
      <x:c r="AP39" s="171"/>
      <x:c r="AQ39" s="174" t="str">
        <x:f>IF(M39&lt;&gt;"是","",IF(AL39="","",IF(AL39="突出档",10,IF(AL39="达标档",6,0))))</x:f>
      </x:c>
      <x:c r="AR39" s="174" t="str">
        <x:f>IF(M39&lt;&gt;"是","",IF(AN39="","",IF(AN39="突出档",10,IF(AN39="达标档",6,0))))</x:f>
      </x:c>
      <x:c r="AS39" s="174" t="str">
        <x:f>IF(M39&lt;&gt;"是","",IF(OR(AQ39="",AR39=""),"",SUM(AQ39:AR39)))</x:f>
      </x:c>
      <x:c r="AT39" s="174" t="str">
        <x:f>IF(M39&lt;&gt;"是","",IF(OR(AL39="",AN39=""),"",IF(OR(AL39="0分档",AN39="0分档"),"主席履职待改进",IF(AND(AL39="突出档",AN39="突出档"),"主席履职突出","主席履职合格"))))</x:f>
      </x:c>
      <x:c r="AU39" s="174" t="str">
        <x:f>IF(OR(T39="",U39="",W39="",Y39="",Z39=""),"",IF(T39="不适用",0,10)+IF(U39="不适用",0,30)+25+25+IF(Z39="不适用",0,10))</x:f>
      </x:c>
      <x:c r="AV39" s="174" t="str">
        <x:f>IF(AU39="","",SUM(AF39:AJ39))</x:f>
      </x:c>
      <x:c r="AW39" s="186" t="str">
        <x:f>IF(AU39="","",ROUND(AV39/AU39*100,1))</x:f>
      </x:c>
      <x:c r="AX39" s="174" t="str">
        <x:f>IF(OR(AH39="",AI39=""),"",AH39+AI39)</x:f>
      </x:c>
      <x:c r="AY39" s="174" t="str">
        <x:f>IF(AX39="","",IF(AX39&lt;30,"未达标","达到门槛"))</x:f>
      </x:c>
      <x:c r="AZ39" s="174" t="str">
        <x:f>IF(A39="","",IF(OR(O39="仅挂会无有效参与",O39="缺席"),"是","否"))</x:f>
      </x:c>
      <x:c r="BA39" s="186" t="str">
        <x:f>IF(A39="","",IF(AZ39="是",0,AW39))</x:f>
      </x:c>
      <x:c r="BB39" s="174"/>
      <x:c r="BC39" s="186"/>
      <x:c r="BD39" s="186" t="str">
        <x:f>IF(A39="","",BA39)</x:f>
      </x:c>
      <x:c r="BE39" s="161"/>
      <x:c r="BF39" s="161"/>
      <x:c r="BG39" s="161"/>
      <x:c r="BH39" s="180"/>
      <x:c r="BI39" s="183"/>
    </x:row>
    <x:row r="40" ht="32" customHeight="1">
      <x:c r="A40" s="160"/>
      <x:c r="B40" s="161"/>
      <x:c r="C40" s="161"/>
      <x:c r="D40" s="161"/>
      <x:c r="E40" s="161"/>
      <x:c r="F40" s="180"/>
      <x:c r="G40" s="161" t="str">
        <x:f>IF(F40="","","H"&amp;IF(MONTH(F40)&lt;=6,1,2))</x:f>
      </x:c>
      <x:c r="H40" s="161"/>
      <x:c r="I40" s="161"/>
      <x:c r="J40" s="161"/>
      <x:c r="K40" s="161"/>
      <x:c r="L40" s="161"/>
      <x:c r="M40" s="161"/>
      <x:c r="N40" s="161"/>
      <x:c r="O40" s="161"/>
      <x:c r="P40" s="161"/>
      <x:c r="Q40" s="161"/>
      <x:c r="R40" s="161"/>
      <x:c r="S40" s="161"/>
      <x:c r="T40" s="165"/>
      <x:c r="U40" s="165"/>
      <x:c r="V40" s="168"/>
      <x:c r="W40" s="165"/>
      <x:c r="X40" s="168"/>
      <x:c r="Y40" s="165"/>
      <x:c r="Z40" s="165"/>
      <x:c r="AA40" s="171"/>
      <x:c r="AB40" s="171"/>
      <x:c r="AC40" s="171"/>
      <x:c r="AD40" s="171"/>
      <x:c r="AE40" s="171"/>
      <x:c r="AF40" s="174" t="str">
        <x:f>IF(T40="","",IF(T40="不适用",0,IF(T40="满分档",10,IF(T40="中间档",5,0))))</x:f>
      </x:c>
      <x:c r="AG40" s="174" t="str">
        <x:f>IF(U40="","",IF(U40="不适用",0,IF(U40="满分档",30,IF(U40="中间档",15,0))))</x:f>
      </x:c>
      <x:c r="AH40" s="174" t="str">
        <x:f>IF(W40="","",IF(W40="满分档",25,IF(W40="中间档",15,0)))</x:f>
      </x:c>
      <x:c r="AI40" s="174" t="str">
        <x:f>IF(Y40="","",IF(Y40="满分档",25,IF(Y40="中间档",15,0)))</x:f>
      </x:c>
      <x:c r="AJ40" s="174" t="str">
        <x:f>IF(Z40="","",IF(Z40="不适用",0,IF(Z40="满分档",10,IF(Z40="中间档",5,0))))</x:f>
      </x:c>
      <x:c r="AK40" s="168"/>
      <x:c r="AL40" s="165"/>
      <x:c r="AM40" s="168"/>
      <x:c r="AN40" s="165"/>
      <x:c r="AO40" s="171"/>
      <x:c r="AP40" s="171"/>
      <x:c r="AQ40" s="174" t="str">
        <x:f>IF(M40&lt;&gt;"是","",IF(AL40="","",IF(AL40="突出档",10,IF(AL40="达标档",6,0))))</x:f>
      </x:c>
      <x:c r="AR40" s="174" t="str">
        <x:f>IF(M40&lt;&gt;"是","",IF(AN40="","",IF(AN40="突出档",10,IF(AN40="达标档",6,0))))</x:f>
      </x:c>
      <x:c r="AS40" s="174" t="str">
        <x:f>IF(M40&lt;&gt;"是","",IF(OR(AQ40="",AR40=""),"",SUM(AQ40:AR40)))</x:f>
      </x:c>
      <x:c r="AT40" s="174" t="str">
        <x:f>IF(M40&lt;&gt;"是","",IF(OR(AL40="",AN40=""),"",IF(OR(AL40="0分档",AN40="0分档"),"主席履职待改进",IF(AND(AL40="突出档",AN40="突出档"),"主席履职突出","主席履职合格"))))</x:f>
      </x:c>
      <x:c r="AU40" s="174" t="str">
        <x:f>IF(OR(T40="",U40="",W40="",Y40="",Z40=""),"",IF(T40="不适用",0,10)+IF(U40="不适用",0,30)+25+25+IF(Z40="不适用",0,10))</x:f>
      </x:c>
      <x:c r="AV40" s="174" t="str">
        <x:f>IF(AU40="","",SUM(AF40:AJ40))</x:f>
      </x:c>
      <x:c r="AW40" s="186" t="str">
        <x:f>IF(AU40="","",ROUND(AV40/AU40*100,1))</x:f>
      </x:c>
      <x:c r="AX40" s="174" t="str">
        <x:f>IF(OR(AH40="",AI40=""),"",AH40+AI40)</x:f>
      </x:c>
      <x:c r="AY40" s="174" t="str">
        <x:f>IF(AX40="","",IF(AX40&lt;30,"未达标","达到门槛"))</x:f>
      </x:c>
      <x:c r="AZ40" s="174" t="str">
        <x:f>IF(A40="","",IF(OR(O40="仅挂会无有效参与",O40="缺席"),"是","否"))</x:f>
      </x:c>
      <x:c r="BA40" s="186" t="str">
        <x:f>IF(A40="","",IF(AZ40="是",0,AW40))</x:f>
      </x:c>
      <x:c r="BB40" s="174"/>
      <x:c r="BC40" s="186"/>
      <x:c r="BD40" s="186" t="str">
        <x:f>IF(A40="","",BA40)</x:f>
      </x:c>
      <x:c r="BE40" s="161"/>
      <x:c r="BF40" s="161"/>
      <x:c r="BG40" s="161"/>
      <x:c r="BH40" s="180"/>
      <x:c r="BI40" s="183"/>
    </x:row>
    <x:row r="41" ht="32" customHeight="1">
      <x:c r="A41" s="160"/>
      <x:c r="B41" s="161"/>
      <x:c r="C41" s="161"/>
      <x:c r="D41" s="161"/>
      <x:c r="E41" s="161"/>
      <x:c r="F41" s="180"/>
      <x:c r="G41" s="161" t="str">
        <x:f>IF(F41="","","H"&amp;IF(MONTH(F41)&lt;=6,1,2))</x:f>
      </x:c>
      <x:c r="H41" s="161"/>
      <x:c r="I41" s="161"/>
      <x:c r="J41" s="161"/>
      <x:c r="K41" s="161"/>
      <x:c r="L41" s="161"/>
      <x:c r="M41" s="161"/>
      <x:c r="N41" s="161"/>
      <x:c r="O41" s="161"/>
      <x:c r="P41" s="161"/>
      <x:c r="Q41" s="161"/>
      <x:c r="R41" s="161"/>
      <x:c r="S41" s="161"/>
      <x:c r="T41" s="165"/>
      <x:c r="U41" s="165"/>
      <x:c r="V41" s="168"/>
      <x:c r="W41" s="165"/>
      <x:c r="X41" s="168"/>
      <x:c r="Y41" s="165"/>
      <x:c r="Z41" s="165"/>
      <x:c r="AA41" s="171"/>
      <x:c r="AB41" s="171"/>
      <x:c r="AC41" s="171"/>
      <x:c r="AD41" s="171"/>
      <x:c r="AE41" s="171"/>
      <x:c r="AF41" s="174" t="str">
        <x:f>IF(T41="","",IF(T41="不适用",0,IF(T41="满分档",10,IF(T41="中间档",5,0))))</x:f>
      </x:c>
      <x:c r="AG41" s="174" t="str">
        <x:f>IF(U41="","",IF(U41="不适用",0,IF(U41="满分档",30,IF(U41="中间档",15,0))))</x:f>
      </x:c>
      <x:c r="AH41" s="174" t="str">
        <x:f>IF(W41="","",IF(W41="满分档",25,IF(W41="中间档",15,0)))</x:f>
      </x:c>
      <x:c r="AI41" s="174" t="str">
        <x:f>IF(Y41="","",IF(Y41="满分档",25,IF(Y41="中间档",15,0)))</x:f>
      </x:c>
      <x:c r="AJ41" s="174" t="str">
        <x:f>IF(Z41="","",IF(Z41="不适用",0,IF(Z41="满分档",10,IF(Z41="中间档",5,0))))</x:f>
      </x:c>
      <x:c r="AK41" s="168"/>
      <x:c r="AL41" s="165"/>
      <x:c r="AM41" s="168"/>
      <x:c r="AN41" s="165"/>
      <x:c r="AO41" s="171"/>
      <x:c r="AP41" s="171"/>
      <x:c r="AQ41" s="174" t="str">
        <x:f>IF(M41&lt;&gt;"是","",IF(AL41="","",IF(AL41="突出档",10,IF(AL41="达标档",6,0))))</x:f>
      </x:c>
      <x:c r="AR41" s="174" t="str">
        <x:f>IF(M41&lt;&gt;"是","",IF(AN41="","",IF(AN41="突出档",10,IF(AN41="达标档",6,0))))</x:f>
      </x:c>
      <x:c r="AS41" s="174" t="str">
        <x:f>IF(M41&lt;&gt;"是","",IF(OR(AQ41="",AR41=""),"",SUM(AQ41:AR41)))</x:f>
      </x:c>
      <x:c r="AT41" s="174" t="str">
        <x:f>IF(M41&lt;&gt;"是","",IF(OR(AL41="",AN41=""),"",IF(OR(AL41="0分档",AN41="0分档"),"主席履职待改进",IF(AND(AL41="突出档",AN41="突出档"),"主席履职突出","主席履职合格"))))</x:f>
      </x:c>
      <x:c r="AU41" s="174" t="str">
        <x:f>IF(OR(T41="",U41="",W41="",Y41="",Z41=""),"",IF(T41="不适用",0,10)+IF(U41="不适用",0,30)+25+25+IF(Z41="不适用",0,10))</x:f>
      </x:c>
      <x:c r="AV41" s="174" t="str">
        <x:f>IF(AU41="","",SUM(AF41:AJ41))</x:f>
      </x:c>
      <x:c r="AW41" s="186" t="str">
        <x:f>IF(AU41="","",ROUND(AV41/AU41*100,1))</x:f>
      </x:c>
      <x:c r="AX41" s="174" t="str">
        <x:f>IF(OR(AH41="",AI41=""),"",AH41+AI41)</x:f>
      </x:c>
      <x:c r="AY41" s="174" t="str">
        <x:f>IF(AX41="","",IF(AX41&lt;30,"未达标","达到门槛"))</x:f>
      </x:c>
      <x:c r="AZ41" s="174" t="str">
        <x:f>IF(A41="","",IF(OR(O41="仅挂会无有效参与",O41="缺席"),"是","否"))</x:f>
      </x:c>
      <x:c r="BA41" s="186" t="str">
        <x:f>IF(A41="","",IF(AZ41="是",0,AW41))</x:f>
      </x:c>
      <x:c r="BB41" s="174"/>
      <x:c r="BC41" s="186"/>
      <x:c r="BD41" s="186" t="str">
        <x:f>IF(A41="","",BA41)</x:f>
      </x:c>
      <x:c r="BE41" s="161"/>
      <x:c r="BF41" s="161"/>
      <x:c r="BG41" s="161"/>
      <x:c r="BH41" s="180"/>
      <x:c r="BI41" s="183"/>
    </x:row>
    <x:row r="42" ht="32" customHeight="1">
      <x:c r="A42" s="160"/>
      <x:c r="B42" s="161"/>
      <x:c r="C42" s="161"/>
      <x:c r="D42" s="161"/>
      <x:c r="E42" s="161"/>
      <x:c r="F42" s="180"/>
      <x:c r="G42" s="161" t="str">
        <x:f>IF(F42="","","H"&amp;IF(MONTH(F42)&lt;=6,1,2))</x:f>
      </x:c>
      <x:c r="H42" s="161"/>
      <x:c r="I42" s="161"/>
      <x:c r="J42" s="161"/>
      <x:c r="K42" s="161"/>
      <x:c r="L42" s="161"/>
      <x:c r="M42" s="161"/>
      <x:c r="N42" s="161"/>
      <x:c r="O42" s="161"/>
      <x:c r="P42" s="161"/>
      <x:c r="Q42" s="161"/>
      <x:c r="R42" s="161"/>
      <x:c r="S42" s="161"/>
      <x:c r="T42" s="165"/>
      <x:c r="U42" s="165"/>
      <x:c r="V42" s="168"/>
      <x:c r="W42" s="165"/>
      <x:c r="X42" s="168"/>
      <x:c r="Y42" s="165"/>
      <x:c r="Z42" s="165"/>
      <x:c r="AA42" s="171"/>
      <x:c r="AB42" s="171"/>
      <x:c r="AC42" s="171"/>
      <x:c r="AD42" s="171"/>
      <x:c r="AE42" s="171"/>
      <x:c r="AF42" s="174" t="str">
        <x:f>IF(T42="","",IF(T42="不适用",0,IF(T42="满分档",10,IF(T42="中间档",5,0))))</x:f>
      </x:c>
      <x:c r="AG42" s="174" t="str">
        <x:f>IF(U42="","",IF(U42="不适用",0,IF(U42="满分档",30,IF(U42="中间档",15,0))))</x:f>
      </x:c>
      <x:c r="AH42" s="174" t="str">
        <x:f>IF(W42="","",IF(W42="满分档",25,IF(W42="中间档",15,0)))</x:f>
      </x:c>
      <x:c r="AI42" s="174" t="str">
        <x:f>IF(Y42="","",IF(Y42="满分档",25,IF(Y42="中间档",15,0)))</x:f>
      </x:c>
      <x:c r="AJ42" s="174" t="str">
        <x:f>IF(Z42="","",IF(Z42="不适用",0,IF(Z42="满分档",10,IF(Z42="中间档",5,0))))</x:f>
      </x:c>
      <x:c r="AK42" s="168"/>
      <x:c r="AL42" s="165"/>
      <x:c r="AM42" s="168"/>
      <x:c r="AN42" s="165"/>
      <x:c r="AO42" s="171"/>
      <x:c r="AP42" s="171"/>
      <x:c r="AQ42" s="174" t="str">
        <x:f>IF(M42&lt;&gt;"是","",IF(AL42="","",IF(AL42="突出档",10,IF(AL42="达标档",6,0))))</x:f>
      </x:c>
      <x:c r="AR42" s="174" t="str">
        <x:f>IF(M42&lt;&gt;"是","",IF(AN42="","",IF(AN42="突出档",10,IF(AN42="达标档",6,0))))</x:f>
      </x:c>
      <x:c r="AS42" s="174" t="str">
        <x:f>IF(M42&lt;&gt;"是","",IF(OR(AQ42="",AR42=""),"",SUM(AQ42:AR42)))</x:f>
      </x:c>
      <x:c r="AT42" s="174" t="str">
        <x:f>IF(M42&lt;&gt;"是","",IF(OR(AL42="",AN42=""),"",IF(OR(AL42="0分档",AN42="0分档"),"主席履职待改进",IF(AND(AL42="突出档",AN42="突出档"),"主席履职突出","主席履职合格"))))</x:f>
      </x:c>
      <x:c r="AU42" s="174" t="str">
        <x:f>IF(OR(T42="",U42="",W42="",Y42="",Z42=""),"",IF(T42="不适用",0,10)+IF(U42="不适用",0,30)+25+25+IF(Z42="不适用",0,10))</x:f>
      </x:c>
      <x:c r="AV42" s="174" t="str">
        <x:f>IF(AU42="","",SUM(AF42:AJ42))</x:f>
      </x:c>
      <x:c r="AW42" s="186" t="str">
        <x:f>IF(AU42="","",ROUND(AV42/AU42*100,1))</x:f>
      </x:c>
      <x:c r="AX42" s="174" t="str">
        <x:f>IF(OR(AH42="",AI42=""),"",AH42+AI42)</x:f>
      </x:c>
      <x:c r="AY42" s="174" t="str">
        <x:f>IF(AX42="","",IF(AX42&lt;30,"未达标","达到门槛"))</x:f>
      </x:c>
      <x:c r="AZ42" s="174" t="str">
        <x:f>IF(A42="","",IF(OR(O42="仅挂会无有效参与",O42="缺席"),"是","否"))</x:f>
      </x:c>
      <x:c r="BA42" s="186" t="str">
        <x:f>IF(A42="","",IF(AZ42="是",0,AW42))</x:f>
      </x:c>
      <x:c r="BB42" s="174"/>
      <x:c r="BC42" s="186"/>
      <x:c r="BD42" s="186" t="str">
        <x:f>IF(A42="","",BA42)</x:f>
      </x:c>
      <x:c r="BE42" s="161"/>
      <x:c r="BF42" s="161"/>
      <x:c r="BG42" s="161"/>
      <x:c r="BH42" s="180"/>
      <x:c r="BI42" s="183"/>
    </x:row>
    <x:row r="43" ht="32" customHeight="1">
      <x:c r="A43" s="160"/>
      <x:c r="B43" s="161"/>
      <x:c r="C43" s="161"/>
      <x:c r="D43" s="161"/>
      <x:c r="E43" s="161"/>
      <x:c r="F43" s="180"/>
      <x:c r="G43" s="161" t="str">
        <x:f>IF(F43="","","H"&amp;IF(MONTH(F43)&lt;=6,1,2))</x:f>
      </x:c>
      <x:c r="H43" s="161"/>
      <x:c r="I43" s="161"/>
      <x:c r="J43" s="161"/>
      <x:c r="K43" s="161"/>
      <x:c r="L43" s="161"/>
      <x:c r="M43" s="161"/>
      <x:c r="N43" s="161"/>
      <x:c r="O43" s="161"/>
      <x:c r="P43" s="161"/>
      <x:c r="Q43" s="161"/>
      <x:c r="R43" s="161"/>
      <x:c r="S43" s="161"/>
      <x:c r="T43" s="165"/>
      <x:c r="U43" s="165"/>
      <x:c r="V43" s="168"/>
      <x:c r="W43" s="165"/>
      <x:c r="X43" s="168"/>
      <x:c r="Y43" s="165"/>
      <x:c r="Z43" s="165"/>
      <x:c r="AA43" s="171"/>
      <x:c r="AB43" s="171"/>
      <x:c r="AC43" s="171"/>
      <x:c r="AD43" s="171"/>
      <x:c r="AE43" s="171"/>
      <x:c r="AF43" s="174" t="str">
        <x:f>IF(T43="","",IF(T43="不适用",0,IF(T43="满分档",10,IF(T43="中间档",5,0))))</x:f>
      </x:c>
      <x:c r="AG43" s="174" t="str">
        <x:f>IF(U43="","",IF(U43="不适用",0,IF(U43="满分档",30,IF(U43="中间档",15,0))))</x:f>
      </x:c>
      <x:c r="AH43" s="174" t="str">
        <x:f>IF(W43="","",IF(W43="满分档",25,IF(W43="中间档",15,0)))</x:f>
      </x:c>
      <x:c r="AI43" s="174" t="str">
        <x:f>IF(Y43="","",IF(Y43="满分档",25,IF(Y43="中间档",15,0)))</x:f>
      </x:c>
      <x:c r="AJ43" s="174" t="str">
        <x:f>IF(Z43="","",IF(Z43="不适用",0,IF(Z43="满分档",10,IF(Z43="中间档",5,0))))</x:f>
      </x:c>
      <x:c r="AK43" s="168"/>
      <x:c r="AL43" s="165"/>
      <x:c r="AM43" s="168"/>
      <x:c r="AN43" s="165"/>
      <x:c r="AO43" s="171"/>
      <x:c r="AP43" s="171"/>
      <x:c r="AQ43" s="174" t="str">
        <x:f>IF(M43&lt;&gt;"是","",IF(AL43="","",IF(AL43="突出档",10,IF(AL43="达标档",6,0))))</x:f>
      </x:c>
      <x:c r="AR43" s="174" t="str">
        <x:f>IF(M43&lt;&gt;"是","",IF(AN43="","",IF(AN43="突出档",10,IF(AN43="达标档",6,0))))</x:f>
      </x:c>
      <x:c r="AS43" s="174" t="str">
        <x:f>IF(M43&lt;&gt;"是","",IF(OR(AQ43="",AR43=""),"",SUM(AQ43:AR43)))</x:f>
      </x:c>
      <x:c r="AT43" s="174" t="str">
        <x:f>IF(M43&lt;&gt;"是","",IF(OR(AL43="",AN43=""),"",IF(OR(AL43="0分档",AN43="0分档"),"主席履职待改进",IF(AND(AL43="突出档",AN43="突出档"),"主席履职突出","主席履职合格"))))</x:f>
      </x:c>
      <x:c r="AU43" s="174" t="str">
        <x:f>IF(OR(T43="",U43="",W43="",Y43="",Z43=""),"",IF(T43="不适用",0,10)+IF(U43="不适用",0,30)+25+25+IF(Z43="不适用",0,10))</x:f>
      </x:c>
      <x:c r="AV43" s="174" t="str">
        <x:f>IF(AU43="","",SUM(AF43:AJ43))</x:f>
      </x:c>
      <x:c r="AW43" s="186" t="str">
        <x:f>IF(AU43="","",ROUND(AV43/AU43*100,1))</x:f>
      </x:c>
      <x:c r="AX43" s="174" t="str">
        <x:f>IF(OR(AH43="",AI43=""),"",AH43+AI43)</x:f>
      </x:c>
      <x:c r="AY43" s="174" t="str">
        <x:f>IF(AX43="","",IF(AX43&lt;30,"未达标","达到门槛"))</x:f>
      </x:c>
      <x:c r="AZ43" s="174" t="str">
        <x:f>IF(A43="","",IF(OR(O43="仅挂会无有效参与",O43="缺席"),"是","否"))</x:f>
      </x:c>
      <x:c r="BA43" s="186" t="str">
        <x:f>IF(A43="","",IF(AZ43="是",0,AW43))</x:f>
      </x:c>
      <x:c r="BB43" s="174"/>
      <x:c r="BC43" s="186"/>
      <x:c r="BD43" s="186" t="str">
        <x:f>IF(A43="","",BA43)</x:f>
      </x:c>
      <x:c r="BE43" s="161"/>
      <x:c r="BF43" s="161"/>
      <x:c r="BG43" s="161"/>
      <x:c r="BH43" s="180"/>
      <x:c r="BI43" s="183"/>
    </x:row>
    <x:row r="44" ht="32" customHeight="1">
      <x:c r="A44" s="160"/>
      <x:c r="B44" s="161"/>
      <x:c r="C44" s="161"/>
      <x:c r="D44" s="161"/>
      <x:c r="E44" s="161"/>
      <x:c r="F44" s="180"/>
      <x:c r="G44" s="161" t="str">
        <x:f>IF(F44="","","H"&amp;IF(MONTH(F44)&lt;=6,1,2))</x:f>
      </x:c>
      <x:c r="H44" s="161"/>
      <x:c r="I44" s="161"/>
      <x:c r="J44" s="161"/>
      <x:c r="K44" s="161"/>
      <x:c r="L44" s="161"/>
      <x:c r="M44" s="161"/>
      <x:c r="N44" s="161"/>
      <x:c r="O44" s="161"/>
      <x:c r="P44" s="161"/>
      <x:c r="Q44" s="161"/>
      <x:c r="R44" s="161"/>
      <x:c r="S44" s="161"/>
      <x:c r="T44" s="165"/>
      <x:c r="U44" s="165"/>
      <x:c r="V44" s="168"/>
      <x:c r="W44" s="165"/>
      <x:c r="X44" s="168"/>
      <x:c r="Y44" s="165"/>
      <x:c r="Z44" s="165"/>
      <x:c r="AA44" s="171"/>
      <x:c r="AB44" s="171"/>
      <x:c r="AC44" s="171"/>
      <x:c r="AD44" s="171"/>
      <x:c r="AE44" s="171"/>
      <x:c r="AF44" s="174" t="str">
        <x:f>IF(T44="","",IF(T44="不适用",0,IF(T44="满分档",10,IF(T44="中间档",5,0))))</x:f>
      </x:c>
      <x:c r="AG44" s="174" t="str">
        <x:f>IF(U44="","",IF(U44="不适用",0,IF(U44="满分档",30,IF(U44="中间档",15,0))))</x:f>
      </x:c>
      <x:c r="AH44" s="174" t="str">
        <x:f>IF(W44="","",IF(W44="满分档",25,IF(W44="中间档",15,0)))</x:f>
      </x:c>
      <x:c r="AI44" s="174" t="str">
        <x:f>IF(Y44="","",IF(Y44="满分档",25,IF(Y44="中间档",15,0)))</x:f>
      </x:c>
      <x:c r="AJ44" s="174" t="str">
        <x:f>IF(Z44="","",IF(Z44="不适用",0,IF(Z44="满分档",10,IF(Z44="中间档",5,0))))</x:f>
      </x:c>
      <x:c r="AK44" s="168"/>
      <x:c r="AL44" s="165"/>
      <x:c r="AM44" s="168"/>
      <x:c r="AN44" s="165"/>
      <x:c r="AO44" s="171"/>
      <x:c r="AP44" s="171"/>
      <x:c r="AQ44" s="174" t="str">
        <x:f>IF(M44&lt;&gt;"是","",IF(AL44="","",IF(AL44="突出档",10,IF(AL44="达标档",6,0))))</x:f>
      </x:c>
      <x:c r="AR44" s="174" t="str">
        <x:f>IF(M44&lt;&gt;"是","",IF(AN44="","",IF(AN44="突出档",10,IF(AN44="达标档",6,0))))</x:f>
      </x:c>
      <x:c r="AS44" s="174" t="str">
        <x:f>IF(M44&lt;&gt;"是","",IF(OR(AQ44="",AR44=""),"",SUM(AQ44:AR44)))</x:f>
      </x:c>
      <x:c r="AT44" s="174" t="str">
        <x:f>IF(M44&lt;&gt;"是","",IF(OR(AL44="",AN44=""),"",IF(OR(AL44="0分档",AN44="0分档"),"主席履职待改进",IF(AND(AL44="突出档",AN44="突出档"),"主席履职突出","主席履职合格"))))</x:f>
      </x:c>
      <x:c r="AU44" s="174" t="str">
        <x:f>IF(OR(T44="",U44="",W44="",Y44="",Z44=""),"",IF(T44="不适用",0,10)+IF(U44="不适用",0,30)+25+25+IF(Z44="不适用",0,10))</x:f>
      </x:c>
      <x:c r="AV44" s="174" t="str">
        <x:f>IF(AU44="","",SUM(AF44:AJ44))</x:f>
      </x:c>
      <x:c r="AW44" s="186" t="str">
        <x:f>IF(AU44="","",ROUND(AV44/AU44*100,1))</x:f>
      </x:c>
      <x:c r="AX44" s="174" t="str">
        <x:f>IF(OR(AH44="",AI44=""),"",AH44+AI44)</x:f>
      </x:c>
      <x:c r="AY44" s="174" t="str">
        <x:f>IF(AX44="","",IF(AX44&lt;30,"未达标","达到门槛"))</x:f>
      </x:c>
      <x:c r="AZ44" s="174" t="str">
        <x:f>IF(A44="","",IF(OR(O44="仅挂会无有效参与",O44="缺席"),"是","否"))</x:f>
      </x:c>
      <x:c r="BA44" s="186" t="str">
        <x:f>IF(A44="","",IF(AZ44="是",0,AW44))</x:f>
      </x:c>
      <x:c r="BB44" s="174"/>
      <x:c r="BC44" s="186"/>
      <x:c r="BD44" s="186" t="str">
        <x:f>IF(A44="","",BA44)</x:f>
      </x:c>
      <x:c r="BE44" s="161"/>
      <x:c r="BF44" s="161"/>
      <x:c r="BG44" s="161"/>
      <x:c r="BH44" s="180"/>
      <x:c r="BI44" s="183"/>
    </x:row>
    <x:row r="45" ht="32" customHeight="1">
      <x:c r="A45" s="160"/>
      <x:c r="B45" s="161"/>
      <x:c r="C45" s="161"/>
      <x:c r="D45" s="161"/>
      <x:c r="E45" s="161"/>
      <x:c r="F45" s="180"/>
      <x:c r="G45" s="161" t="str">
        <x:f>IF(F45="","","H"&amp;IF(MONTH(F45)&lt;=6,1,2))</x:f>
      </x:c>
      <x:c r="H45" s="161"/>
      <x:c r="I45" s="161"/>
      <x:c r="J45" s="161"/>
      <x:c r="K45" s="161"/>
      <x:c r="L45" s="161"/>
      <x:c r="M45" s="161"/>
      <x:c r="N45" s="161"/>
      <x:c r="O45" s="161"/>
      <x:c r="P45" s="161"/>
      <x:c r="Q45" s="161"/>
      <x:c r="R45" s="161"/>
      <x:c r="S45" s="161"/>
      <x:c r="T45" s="165"/>
      <x:c r="U45" s="165"/>
      <x:c r="V45" s="168"/>
      <x:c r="W45" s="165"/>
      <x:c r="X45" s="168"/>
      <x:c r="Y45" s="165"/>
      <x:c r="Z45" s="165"/>
      <x:c r="AA45" s="171"/>
      <x:c r="AB45" s="171"/>
      <x:c r="AC45" s="171"/>
      <x:c r="AD45" s="171"/>
      <x:c r="AE45" s="171"/>
      <x:c r="AF45" s="174" t="str">
        <x:f>IF(T45="","",IF(T45="不适用",0,IF(T45="满分档",10,IF(T45="中间档",5,0))))</x:f>
      </x:c>
      <x:c r="AG45" s="174" t="str">
        <x:f>IF(U45="","",IF(U45="不适用",0,IF(U45="满分档",30,IF(U45="中间档",15,0))))</x:f>
      </x:c>
      <x:c r="AH45" s="174" t="str">
        <x:f>IF(W45="","",IF(W45="满分档",25,IF(W45="中间档",15,0)))</x:f>
      </x:c>
      <x:c r="AI45" s="174" t="str">
        <x:f>IF(Y45="","",IF(Y45="满分档",25,IF(Y45="中间档",15,0)))</x:f>
      </x:c>
      <x:c r="AJ45" s="174" t="str">
        <x:f>IF(Z45="","",IF(Z45="不适用",0,IF(Z45="满分档",10,IF(Z45="中间档",5,0))))</x:f>
      </x:c>
      <x:c r="AK45" s="168"/>
      <x:c r="AL45" s="165"/>
      <x:c r="AM45" s="168"/>
      <x:c r="AN45" s="165"/>
      <x:c r="AO45" s="171"/>
      <x:c r="AP45" s="171"/>
      <x:c r="AQ45" s="174" t="str">
        <x:f>IF(M45&lt;&gt;"是","",IF(AL45="","",IF(AL45="突出档",10,IF(AL45="达标档",6,0))))</x:f>
      </x:c>
      <x:c r="AR45" s="174" t="str">
        <x:f>IF(M45&lt;&gt;"是","",IF(AN45="","",IF(AN45="突出档",10,IF(AN45="达标档",6,0))))</x:f>
      </x:c>
      <x:c r="AS45" s="174" t="str">
        <x:f>IF(M45&lt;&gt;"是","",IF(OR(AQ45="",AR45=""),"",SUM(AQ45:AR45)))</x:f>
      </x:c>
      <x:c r="AT45" s="174" t="str">
        <x:f>IF(M45&lt;&gt;"是","",IF(OR(AL45="",AN45=""),"",IF(OR(AL45="0分档",AN45="0分档"),"主席履职待改进",IF(AND(AL45="突出档",AN45="突出档"),"主席履职突出","主席履职合格"))))</x:f>
      </x:c>
      <x:c r="AU45" s="174" t="str">
        <x:f>IF(OR(T45="",U45="",W45="",Y45="",Z45=""),"",IF(T45="不适用",0,10)+IF(U45="不适用",0,30)+25+25+IF(Z45="不适用",0,10))</x:f>
      </x:c>
      <x:c r="AV45" s="174" t="str">
        <x:f>IF(AU45="","",SUM(AF45:AJ45))</x:f>
      </x:c>
      <x:c r="AW45" s="186" t="str">
        <x:f>IF(AU45="","",ROUND(AV45/AU45*100,1))</x:f>
      </x:c>
      <x:c r="AX45" s="174" t="str">
        <x:f>IF(OR(AH45="",AI45=""),"",AH45+AI45)</x:f>
      </x:c>
      <x:c r="AY45" s="174" t="str">
        <x:f>IF(AX45="","",IF(AX45&lt;30,"未达标","达到门槛"))</x:f>
      </x:c>
      <x:c r="AZ45" s="174" t="str">
        <x:f>IF(A45="","",IF(OR(O45="仅挂会无有效参与",O45="缺席"),"是","否"))</x:f>
      </x:c>
      <x:c r="BA45" s="186" t="str">
        <x:f>IF(A45="","",IF(AZ45="是",0,AW45))</x:f>
      </x:c>
      <x:c r="BB45" s="174"/>
      <x:c r="BC45" s="186"/>
      <x:c r="BD45" s="186" t="str">
        <x:f>IF(A45="","",BA45)</x:f>
      </x:c>
      <x:c r="BE45" s="161"/>
      <x:c r="BF45" s="161"/>
      <x:c r="BG45" s="161"/>
      <x:c r="BH45" s="180"/>
      <x:c r="BI45" s="183"/>
    </x:row>
    <x:row r="46" ht="32" customHeight="1">
      <x:c r="A46" s="160"/>
      <x:c r="B46" s="161"/>
      <x:c r="C46" s="161"/>
      <x:c r="D46" s="161"/>
      <x:c r="E46" s="161"/>
      <x:c r="F46" s="180"/>
      <x:c r="G46" s="161" t="str">
        <x:f>IF(F46="","","H"&amp;IF(MONTH(F46)&lt;=6,1,2))</x:f>
      </x:c>
      <x:c r="H46" s="161"/>
      <x:c r="I46" s="161"/>
      <x:c r="J46" s="161"/>
      <x:c r="K46" s="161"/>
      <x:c r="L46" s="161"/>
      <x:c r="M46" s="161"/>
      <x:c r="N46" s="161"/>
      <x:c r="O46" s="161"/>
      <x:c r="P46" s="161"/>
      <x:c r="Q46" s="161"/>
      <x:c r="R46" s="161"/>
      <x:c r="S46" s="161"/>
      <x:c r="T46" s="165"/>
      <x:c r="U46" s="165"/>
      <x:c r="V46" s="168"/>
      <x:c r="W46" s="165"/>
      <x:c r="X46" s="168"/>
      <x:c r="Y46" s="165"/>
      <x:c r="Z46" s="165"/>
      <x:c r="AA46" s="171"/>
      <x:c r="AB46" s="171"/>
      <x:c r="AC46" s="171"/>
      <x:c r="AD46" s="171"/>
      <x:c r="AE46" s="171"/>
      <x:c r="AF46" s="174" t="str">
        <x:f>IF(T46="","",IF(T46="不适用",0,IF(T46="满分档",10,IF(T46="中间档",5,0))))</x:f>
      </x:c>
      <x:c r="AG46" s="174" t="str">
        <x:f>IF(U46="","",IF(U46="不适用",0,IF(U46="满分档",30,IF(U46="中间档",15,0))))</x:f>
      </x:c>
      <x:c r="AH46" s="174" t="str">
        <x:f>IF(W46="","",IF(W46="满分档",25,IF(W46="中间档",15,0)))</x:f>
      </x:c>
      <x:c r="AI46" s="174" t="str">
        <x:f>IF(Y46="","",IF(Y46="满分档",25,IF(Y46="中间档",15,0)))</x:f>
      </x:c>
      <x:c r="AJ46" s="174" t="str">
        <x:f>IF(Z46="","",IF(Z46="不适用",0,IF(Z46="满分档",10,IF(Z46="中间档",5,0))))</x:f>
      </x:c>
      <x:c r="AK46" s="168"/>
      <x:c r="AL46" s="165"/>
      <x:c r="AM46" s="168"/>
      <x:c r="AN46" s="165"/>
      <x:c r="AO46" s="171"/>
      <x:c r="AP46" s="171"/>
      <x:c r="AQ46" s="174" t="str">
        <x:f>IF(M46&lt;&gt;"是","",IF(AL46="","",IF(AL46="突出档",10,IF(AL46="达标档",6,0))))</x:f>
      </x:c>
      <x:c r="AR46" s="174" t="str">
        <x:f>IF(M46&lt;&gt;"是","",IF(AN46="","",IF(AN46="突出档",10,IF(AN46="达标档",6,0))))</x:f>
      </x:c>
      <x:c r="AS46" s="174" t="str">
        <x:f>IF(M46&lt;&gt;"是","",IF(OR(AQ46="",AR46=""),"",SUM(AQ46:AR46)))</x:f>
      </x:c>
      <x:c r="AT46" s="174" t="str">
        <x:f>IF(M46&lt;&gt;"是","",IF(OR(AL46="",AN46=""),"",IF(OR(AL46="0分档",AN46="0分档"),"主席履职待改进",IF(AND(AL46="突出档",AN46="突出档"),"主席履职突出","主席履职合格"))))</x:f>
      </x:c>
      <x:c r="AU46" s="174" t="str">
        <x:f>IF(OR(T46="",U46="",W46="",Y46="",Z46=""),"",IF(T46="不适用",0,10)+IF(U46="不适用",0,30)+25+25+IF(Z46="不适用",0,10))</x:f>
      </x:c>
      <x:c r="AV46" s="174" t="str">
        <x:f>IF(AU46="","",SUM(AF46:AJ46))</x:f>
      </x:c>
      <x:c r="AW46" s="186" t="str">
        <x:f>IF(AU46="","",ROUND(AV46/AU46*100,1))</x:f>
      </x:c>
      <x:c r="AX46" s="174" t="str">
        <x:f>IF(OR(AH46="",AI46=""),"",AH46+AI46)</x:f>
      </x:c>
      <x:c r="AY46" s="174" t="str">
        <x:f>IF(AX46="","",IF(AX46&lt;30,"未达标","达到门槛"))</x:f>
      </x:c>
      <x:c r="AZ46" s="174" t="str">
        <x:f>IF(A46="","",IF(OR(O46="仅挂会无有效参与",O46="缺席"),"是","否"))</x:f>
      </x:c>
      <x:c r="BA46" s="186" t="str">
        <x:f>IF(A46="","",IF(AZ46="是",0,AW46))</x:f>
      </x:c>
      <x:c r="BB46" s="174"/>
      <x:c r="BC46" s="186"/>
      <x:c r="BD46" s="186" t="str">
        <x:f>IF(A46="","",BA46)</x:f>
      </x:c>
      <x:c r="BE46" s="161"/>
      <x:c r="BF46" s="161"/>
      <x:c r="BG46" s="161"/>
      <x:c r="BH46" s="180"/>
      <x:c r="BI46" s="183"/>
    </x:row>
    <x:row r="47" ht="32" customHeight="1">
      <x:c r="A47" s="160"/>
      <x:c r="B47" s="161"/>
      <x:c r="C47" s="161"/>
      <x:c r="D47" s="161"/>
      <x:c r="E47" s="161"/>
      <x:c r="F47" s="180"/>
      <x:c r="G47" s="161" t="str">
        <x:f>IF(F47="","","H"&amp;IF(MONTH(F47)&lt;=6,1,2))</x:f>
      </x:c>
      <x:c r="H47" s="161"/>
      <x:c r="I47" s="161"/>
      <x:c r="J47" s="161"/>
      <x:c r="K47" s="161"/>
      <x:c r="L47" s="161"/>
      <x:c r="M47" s="161"/>
      <x:c r="N47" s="161"/>
      <x:c r="O47" s="161"/>
      <x:c r="P47" s="161"/>
      <x:c r="Q47" s="161"/>
      <x:c r="R47" s="161"/>
      <x:c r="S47" s="161"/>
      <x:c r="T47" s="165"/>
      <x:c r="U47" s="165"/>
      <x:c r="V47" s="168"/>
      <x:c r="W47" s="165"/>
      <x:c r="X47" s="168"/>
      <x:c r="Y47" s="165"/>
      <x:c r="Z47" s="165"/>
      <x:c r="AA47" s="171"/>
      <x:c r="AB47" s="171"/>
      <x:c r="AC47" s="171"/>
      <x:c r="AD47" s="171"/>
      <x:c r="AE47" s="171"/>
      <x:c r="AF47" s="174" t="str">
        <x:f>IF(T47="","",IF(T47="不适用",0,IF(T47="满分档",10,IF(T47="中间档",5,0))))</x:f>
      </x:c>
      <x:c r="AG47" s="174" t="str">
        <x:f>IF(U47="","",IF(U47="不适用",0,IF(U47="满分档",30,IF(U47="中间档",15,0))))</x:f>
      </x:c>
      <x:c r="AH47" s="174" t="str">
        <x:f>IF(W47="","",IF(W47="满分档",25,IF(W47="中间档",15,0)))</x:f>
      </x:c>
      <x:c r="AI47" s="174" t="str">
        <x:f>IF(Y47="","",IF(Y47="满分档",25,IF(Y47="中间档",15,0)))</x:f>
      </x:c>
      <x:c r="AJ47" s="174" t="str">
        <x:f>IF(Z47="","",IF(Z47="不适用",0,IF(Z47="满分档",10,IF(Z47="中间档",5,0))))</x:f>
      </x:c>
      <x:c r="AK47" s="168"/>
      <x:c r="AL47" s="165"/>
      <x:c r="AM47" s="168"/>
      <x:c r="AN47" s="165"/>
      <x:c r="AO47" s="171"/>
      <x:c r="AP47" s="171"/>
      <x:c r="AQ47" s="174" t="str">
        <x:f>IF(M47&lt;&gt;"是","",IF(AL47="","",IF(AL47="突出档",10,IF(AL47="达标档",6,0))))</x:f>
      </x:c>
      <x:c r="AR47" s="174" t="str">
        <x:f>IF(M47&lt;&gt;"是","",IF(AN47="","",IF(AN47="突出档",10,IF(AN47="达标档",6,0))))</x:f>
      </x:c>
      <x:c r="AS47" s="174" t="str">
        <x:f>IF(M47&lt;&gt;"是","",IF(OR(AQ47="",AR47=""),"",SUM(AQ47:AR47)))</x:f>
      </x:c>
      <x:c r="AT47" s="174" t="str">
        <x:f>IF(M47&lt;&gt;"是","",IF(OR(AL47="",AN47=""),"",IF(OR(AL47="0分档",AN47="0分档"),"主席履职待改进",IF(AND(AL47="突出档",AN47="突出档"),"主席履职突出","主席履职合格"))))</x:f>
      </x:c>
      <x:c r="AU47" s="174" t="str">
        <x:f>IF(OR(T47="",U47="",W47="",Y47="",Z47=""),"",IF(T47="不适用",0,10)+IF(U47="不适用",0,30)+25+25+IF(Z47="不适用",0,10))</x:f>
      </x:c>
      <x:c r="AV47" s="174" t="str">
        <x:f>IF(AU47="","",SUM(AF47:AJ47))</x:f>
      </x:c>
      <x:c r="AW47" s="186" t="str">
        <x:f>IF(AU47="","",ROUND(AV47/AU47*100,1))</x:f>
      </x:c>
      <x:c r="AX47" s="174" t="str">
        <x:f>IF(OR(AH47="",AI47=""),"",AH47+AI47)</x:f>
      </x:c>
      <x:c r="AY47" s="174" t="str">
        <x:f>IF(AX47="","",IF(AX47&lt;30,"未达标","达到门槛"))</x:f>
      </x:c>
      <x:c r="AZ47" s="174" t="str">
        <x:f>IF(A47="","",IF(OR(O47="仅挂会无有效参与",O47="缺席"),"是","否"))</x:f>
      </x:c>
      <x:c r="BA47" s="186" t="str">
        <x:f>IF(A47="","",IF(AZ47="是",0,AW47))</x:f>
      </x:c>
      <x:c r="BB47" s="174"/>
      <x:c r="BC47" s="186"/>
      <x:c r="BD47" s="186" t="str">
        <x:f>IF(A47="","",BA47)</x:f>
      </x:c>
      <x:c r="BE47" s="161"/>
      <x:c r="BF47" s="161"/>
      <x:c r="BG47" s="161"/>
      <x:c r="BH47" s="180"/>
      <x:c r="BI47" s="183"/>
    </x:row>
    <x:row r="48" ht="32" customHeight="1">
      <x:c r="A48" s="160"/>
      <x:c r="B48" s="161"/>
      <x:c r="C48" s="161"/>
      <x:c r="D48" s="161"/>
      <x:c r="E48" s="161"/>
      <x:c r="F48" s="180"/>
      <x:c r="G48" s="161" t="str">
        <x:f>IF(F48="","","H"&amp;IF(MONTH(F48)&lt;=6,1,2))</x:f>
      </x:c>
      <x:c r="H48" s="161"/>
      <x:c r="I48" s="161"/>
      <x:c r="J48" s="161"/>
      <x:c r="K48" s="161"/>
      <x:c r="L48" s="161"/>
      <x:c r="M48" s="161"/>
      <x:c r="N48" s="161"/>
      <x:c r="O48" s="161"/>
      <x:c r="P48" s="161"/>
      <x:c r="Q48" s="161"/>
      <x:c r="R48" s="161"/>
      <x:c r="S48" s="161"/>
      <x:c r="T48" s="165"/>
      <x:c r="U48" s="165"/>
      <x:c r="V48" s="168"/>
      <x:c r="W48" s="165"/>
      <x:c r="X48" s="168"/>
      <x:c r="Y48" s="165"/>
      <x:c r="Z48" s="165"/>
      <x:c r="AA48" s="171"/>
      <x:c r="AB48" s="171"/>
      <x:c r="AC48" s="171"/>
      <x:c r="AD48" s="171"/>
      <x:c r="AE48" s="171"/>
      <x:c r="AF48" s="174" t="str">
        <x:f>IF(T48="","",IF(T48="不适用",0,IF(T48="满分档",10,IF(T48="中间档",5,0))))</x:f>
      </x:c>
      <x:c r="AG48" s="174" t="str">
        <x:f>IF(U48="","",IF(U48="不适用",0,IF(U48="满分档",30,IF(U48="中间档",15,0))))</x:f>
      </x:c>
      <x:c r="AH48" s="174" t="str">
        <x:f>IF(W48="","",IF(W48="满分档",25,IF(W48="中间档",15,0)))</x:f>
      </x:c>
      <x:c r="AI48" s="174" t="str">
        <x:f>IF(Y48="","",IF(Y48="满分档",25,IF(Y48="中间档",15,0)))</x:f>
      </x:c>
      <x:c r="AJ48" s="174" t="str">
        <x:f>IF(Z48="","",IF(Z48="不适用",0,IF(Z48="满分档",10,IF(Z48="中间档",5,0))))</x:f>
      </x:c>
      <x:c r="AK48" s="168"/>
      <x:c r="AL48" s="165"/>
      <x:c r="AM48" s="168"/>
      <x:c r="AN48" s="165"/>
      <x:c r="AO48" s="171"/>
      <x:c r="AP48" s="171"/>
      <x:c r="AQ48" s="174" t="str">
        <x:f>IF(M48&lt;&gt;"是","",IF(AL48="","",IF(AL48="突出档",10,IF(AL48="达标档",6,0))))</x:f>
      </x:c>
      <x:c r="AR48" s="174" t="str">
        <x:f>IF(M48&lt;&gt;"是","",IF(AN48="","",IF(AN48="突出档",10,IF(AN48="达标档",6,0))))</x:f>
      </x:c>
      <x:c r="AS48" s="174" t="str">
        <x:f>IF(M48&lt;&gt;"是","",IF(OR(AQ48="",AR48=""),"",SUM(AQ48:AR48)))</x:f>
      </x:c>
      <x:c r="AT48" s="174" t="str">
        <x:f>IF(M48&lt;&gt;"是","",IF(OR(AL48="",AN48=""),"",IF(OR(AL48="0分档",AN48="0分档"),"主席履职待改进",IF(AND(AL48="突出档",AN48="突出档"),"主席履职突出","主席履职合格"))))</x:f>
      </x:c>
      <x:c r="AU48" s="174" t="str">
        <x:f>IF(OR(T48="",U48="",W48="",Y48="",Z48=""),"",IF(T48="不适用",0,10)+IF(U48="不适用",0,30)+25+25+IF(Z48="不适用",0,10))</x:f>
      </x:c>
      <x:c r="AV48" s="174" t="str">
        <x:f>IF(AU48="","",SUM(AF48:AJ48))</x:f>
      </x:c>
      <x:c r="AW48" s="186" t="str">
        <x:f>IF(AU48="","",ROUND(AV48/AU48*100,1))</x:f>
      </x:c>
      <x:c r="AX48" s="174" t="str">
        <x:f>IF(OR(AH48="",AI48=""),"",AH48+AI48)</x:f>
      </x:c>
      <x:c r="AY48" s="174" t="str">
        <x:f>IF(AX48="","",IF(AX48&lt;30,"未达标","达到门槛"))</x:f>
      </x:c>
      <x:c r="AZ48" s="174" t="str">
        <x:f>IF(A48="","",IF(OR(O48="仅挂会无有效参与",O48="缺席"),"是","否"))</x:f>
      </x:c>
      <x:c r="BA48" s="186" t="str">
        <x:f>IF(A48="","",IF(AZ48="是",0,AW48))</x:f>
      </x:c>
      <x:c r="BB48" s="174"/>
      <x:c r="BC48" s="186"/>
      <x:c r="BD48" s="186" t="str">
        <x:f>IF(A48="","",BA48)</x:f>
      </x:c>
      <x:c r="BE48" s="161"/>
      <x:c r="BF48" s="161"/>
      <x:c r="BG48" s="161"/>
      <x:c r="BH48" s="180"/>
      <x:c r="BI48" s="183"/>
    </x:row>
    <x:row r="49" ht="32" customHeight="1">
      <x:c r="A49" s="160"/>
      <x:c r="B49" s="161"/>
      <x:c r="C49" s="161"/>
      <x:c r="D49" s="161"/>
      <x:c r="E49" s="161"/>
      <x:c r="F49" s="180"/>
      <x:c r="G49" s="161" t="str">
        <x:f>IF(F49="","","H"&amp;IF(MONTH(F49)&lt;=6,1,2))</x:f>
      </x:c>
      <x:c r="H49" s="161"/>
      <x:c r="I49" s="161"/>
      <x:c r="J49" s="161"/>
      <x:c r="K49" s="161"/>
      <x:c r="L49" s="161"/>
      <x:c r="M49" s="161"/>
      <x:c r="N49" s="161"/>
      <x:c r="O49" s="161"/>
      <x:c r="P49" s="161"/>
      <x:c r="Q49" s="161"/>
      <x:c r="R49" s="161"/>
      <x:c r="S49" s="161"/>
      <x:c r="T49" s="165"/>
      <x:c r="U49" s="165"/>
      <x:c r="V49" s="168"/>
      <x:c r="W49" s="165"/>
      <x:c r="X49" s="168"/>
      <x:c r="Y49" s="165"/>
      <x:c r="Z49" s="165"/>
      <x:c r="AA49" s="171"/>
      <x:c r="AB49" s="171"/>
      <x:c r="AC49" s="171"/>
      <x:c r="AD49" s="171"/>
      <x:c r="AE49" s="171"/>
      <x:c r="AF49" s="174" t="str">
        <x:f>IF(T49="","",IF(T49="不适用",0,IF(T49="满分档",10,IF(T49="中间档",5,0))))</x:f>
      </x:c>
      <x:c r="AG49" s="174" t="str">
        <x:f>IF(U49="","",IF(U49="不适用",0,IF(U49="满分档",30,IF(U49="中间档",15,0))))</x:f>
      </x:c>
      <x:c r="AH49" s="174" t="str">
        <x:f>IF(W49="","",IF(W49="满分档",25,IF(W49="中间档",15,0)))</x:f>
      </x:c>
      <x:c r="AI49" s="174" t="str">
        <x:f>IF(Y49="","",IF(Y49="满分档",25,IF(Y49="中间档",15,0)))</x:f>
      </x:c>
      <x:c r="AJ49" s="174" t="str">
        <x:f>IF(Z49="","",IF(Z49="不适用",0,IF(Z49="满分档",10,IF(Z49="中间档",5,0))))</x:f>
      </x:c>
      <x:c r="AK49" s="168"/>
      <x:c r="AL49" s="165"/>
      <x:c r="AM49" s="168"/>
      <x:c r="AN49" s="165"/>
      <x:c r="AO49" s="171"/>
      <x:c r="AP49" s="171"/>
      <x:c r="AQ49" s="174" t="str">
        <x:f>IF(M49&lt;&gt;"是","",IF(AL49="","",IF(AL49="突出档",10,IF(AL49="达标档",6,0))))</x:f>
      </x:c>
      <x:c r="AR49" s="174" t="str">
        <x:f>IF(M49&lt;&gt;"是","",IF(AN49="","",IF(AN49="突出档",10,IF(AN49="达标档",6,0))))</x:f>
      </x:c>
      <x:c r="AS49" s="174" t="str">
        <x:f>IF(M49&lt;&gt;"是","",IF(OR(AQ49="",AR49=""),"",SUM(AQ49:AR49)))</x:f>
      </x:c>
      <x:c r="AT49" s="174" t="str">
        <x:f>IF(M49&lt;&gt;"是","",IF(OR(AL49="",AN49=""),"",IF(OR(AL49="0分档",AN49="0分档"),"主席履职待改进",IF(AND(AL49="突出档",AN49="突出档"),"主席履职突出","主席履职合格"))))</x:f>
      </x:c>
      <x:c r="AU49" s="174" t="str">
        <x:f>IF(OR(T49="",U49="",W49="",Y49="",Z49=""),"",IF(T49="不适用",0,10)+IF(U49="不适用",0,30)+25+25+IF(Z49="不适用",0,10))</x:f>
      </x:c>
      <x:c r="AV49" s="174" t="str">
        <x:f>IF(AU49="","",SUM(AF49:AJ49))</x:f>
      </x:c>
      <x:c r="AW49" s="186" t="str">
        <x:f>IF(AU49="","",ROUND(AV49/AU49*100,1))</x:f>
      </x:c>
      <x:c r="AX49" s="174" t="str">
        <x:f>IF(OR(AH49="",AI49=""),"",AH49+AI49)</x:f>
      </x:c>
      <x:c r="AY49" s="174" t="str">
        <x:f>IF(AX49="","",IF(AX49&lt;30,"未达标","达到门槛"))</x:f>
      </x:c>
      <x:c r="AZ49" s="174" t="str">
        <x:f>IF(A49="","",IF(OR(O49="仅挂会无有效参与",O49="缺席"),"是","否"))</x:f>
      </x:c>
      <x:c r="BA49" s="186" t="str">
        <x:f>IF(A49="","",IF(AZ49="是",0,AW49))</x:f>
      </x:c>
      <x:c r="BB49" s="174"/>
      <x:c r="BC49" s="186"/>
      <x:c r="BD49" s="186" t="str">
        <x:f>IF(A49="","",BA49)</x:f>
      </x:c>
      <x:c r="BE49" s="161"/>
      <x:c r="BF49" s="161"/>
      <x:c r="BG49" s="161"/>
      <x:c r="BH49" s="180"/>
      <x:c r="BI49" s="183"/>
    </x:row>
    <x:row r="50" ht="32" customHeight="1">
      <x:c r="A50" s="160"/>
      <x:c r="B50" s="161"/>
      <x:c r="C50" s="161"/>
      <x:c r="D50" s="161"/>
      <x:c r="E50" s="161"/>
      <x:c r="F50" s="180"/>
      <x:c r="G50" s="161" t="str">
        <x:f>IF(F50="","","H"&amp;IF(MONTH(F50)&lt;=6,1,2))</x:f>
      </x:c>
      <x:c r="H50" s="161"/>
      <x:c r="I50" s="161"/>
      <x:c r="J50" s="161"/>
      <x:c r="K50" s="161"/>
      <x:c r="L50" s="161"/>
      <x:c r="M50" s="161"/>
      <x:c r="N50" s="161"/>
      <x:c r="O50" s="161"/>
      <x:c r="P50" s="161"/>
      <x:c r="Q50" s="161"/>
      <x:c r="R50" s="161"/>
      <x:c r="S50" s="161"/>
      <x:c r="T50" s="165"/>
      <x:c r="U50" s="165"/>
      <x:c r="V50" s="168"/>
      <x:c r="W50" s="165"/>
      <x:c r="X50" s="168"/>
      <x:c r="Y50" s="165"/>
      <x:c r="Z50" s="165"/>
      <x:c r="AA50" s="171"/>
      <x:c r="AB50" s="171"/>
      <x:c r="AC50" s="171"/>
      <x:c r="AD50" s="171"/>
      <x:c r="AE50" s="171"/>
      <x:c r="AF50" s="174" t="str">
        <x:f>IF(T50="","",IF(T50="不适用",0,IF(T50="满分档",10,IF(T50="中间档",5,0))))</x:f>
      </x:c>
      <x:c r="AG50" s="174" t="str">
        <x:f>IF(U50="","",IF(U50="不适用",0,IF(U50="满分档",30,IF(U50="中间档",15,0))))</x:f>
      </x:c>
      <x:c r="AH50" s="174" t="str">
        <x:f>IF(W50="","",IF(W50="满分档",25,IF(W50="中间档",15,0)))</x:f>
      </x:c>
      <x:c r="AI50" s="174" t="str">
        <x:f>IF(Y50="","",IF(Y50="满分档",25,IF(Y50="中间档",15,0)))</x:f>
      </x:c>
      <x:c r="AJ50" s="174" t="str">
        <x:f>IF(Z50="","",IF(Z50="不适用",0,IF(Z50="满分档",10,IF(Z50="中间档",5,0))))</x:f>
      </x:c>
      <x:c r="AK50" s="168"/>
      <x:c r="AL50" s="165"/>
      <x:c r="AM50" s="168"/>
      <x:c r="AN50" s="165"/>
      <x:c r="AO50" s="171"/>
      <x:c r="AP50" s="171"/>
      <x:c r="AQ50" s="174" t="str">
        <x:f>IF(M50&lt;&gt;"是","",IF(AL50="","",IF(AL50="突出档",10,IF(AL50="达标档",6,0))))</x:f>
      </x:c>
      <x:c r="AR50" s="174" t="str">
        <x:f>IF(M50&lt;&gt;"是","",IF(AN50="","",IF(AN50="突出档",10,IF(AN50="达标档",6,0))))</x:f>
      </x:c>
      <x:c r="AS50" s="174" t="str">
        <x:f>IF(M50&lt;&gt;"是","",IF(OR(AQ50="",AR50=""),"",SUM(AQ50:AR50)))</x:f>
      </x:c>
      <x:c r="AT50" s="174" t="str">
        <x:f>IF(M50&lt;&gt;"是","",IF(OR(AL50="",AN50=""),"",IF(OR(AL50="0分档",AN50="0分档"),"主席履职待改进",IF(AND(AL50="突出档",AN50="突出档"),"主席履职突出","主席履职合格"))))</x:f>
      </x:c>
      <x:c r="AU50" s="174" t="str">
        <x:f>IF(OR(T50="",U50="",W50="",Y50="",Z50=""),"",IF(T50="不适用",0,10)+IF(U50="不适用",0,30)+25+25+IF(Z50="不适用",0,10))</x:f>
      </x:c>
      <x:c r="AV50" s="174" t="str">
        <x:f>IF(AU50="","",SUM(AF50:AJ50))</x:f>
      </x:c>
      <x:c r="AW50" s="186" t="str">
        <x:f>IF(AU50="","",ROUND(AV50/AU50*100,1))</x:f>
      </x:c>
      <x:c r="AX50" s="174" t="str">
        <x:f>IF(OR(AH50="",AI50=""),"",AH50+AI50)</x:f>
      </x:c>
      <x:c r="AY50" s="174" t="str">
        <x:f>IF(AX50="","",IF(AX50&lt;30,"未达标","达到门槛"))</x:f>
      </x:c>
      <x:c r="AZ50" s="174" t="str">
        <x:f>IF(A50="","",IF(OR(O50="仅挂会无有效参与",O50="缺席"),"是","否"))</x:f>
      </x:c>
      <x:c r="BA50" s="186" t="str">
        <x:f>IF(A50="","",IF(AZ50="是",0,AW50))</x:f>
      </x:c>
      <x:c r="BB50" s="174"/>
      <x:c r="BC50" s="186"/>
      <x:c r="BD50" s="186" t="str">
        <x:f>IF(A50="","",BA50)</x:f>
      </x:c>
      <x:c r="BE50" s="161"/>
      <x:c r="BF50" s="161"/>
      <x:c r="BG50" s="161"/>
      <x:c r="BH50" s="180"/>
      <x:c r="BI50" s="183"/>
    </x:row>
    <x:row r="51" ht="32" customHeight="1">
      <x:c r="A51" s="160"/>
      <x:c r="B51" s="161"/>
      <x:c r="C51" s="161"/>
      <x:c r="D51" s="161"/>
      <x:c r="E51" s="161"/>
      <x:c r="F51" s="180"/>
      <x:c r="G51" s="161" t="str">
        <x:f>IF(F51="","","H"&amp;IF(MONTH(F51)&lt;=6,1,2))</x:f>
      </x:c>
      <x:c r="H51" s="161"/>
      <x:c r="I51" s="161"/>
      <x:c r="J51" s="161"/>
      <x:c r="K51" s="161"/>
      <x:c r="L51" s="161"/>
      <x:c r="M51" s="161"/>
      <x:c r="N51" s="161"/>
      <x:c r="O51" s="161"/>
      <x:c r="P51" s="161"/>
      <x:c r="Q51" s="161"/>
      <x:c r="R51" s="161"/>
      <x:c r="S51" s="161"/>
      <x:c r="T51" s="165"/>
      <x:c r="U51" s="165"/>
      <x:c r="V51" s="168"/>
      <x:c r="W51" s="165"/>
      <x:c r="X51" s="168"/>
      <x:c r="Y51" s="165"/>
      <x:c r="Z51" s="165"/>
      <x:c r="AA51" s="171"/>
      <x:c r="AB51" s="171"/>
      <x:c r="AC51" s="171"/>
      <x:c r="AD51" s="171"/>
      <x:c r="AE51" s="171"/>
      <x:c r="AF51" s="174" t="str">
        <x:f>IF(T51="","",IF(T51="不适用",0,IF(T51="满分档",10,IF(T51="中间档",5,0))))</x:f>
      </x:c>
      <x:c r="AG51" s="174" t="str">
        <x:f>IF(U51="","",IF(U51="不适用",0,IF(U51="满分档",30,IF(U51="中间档",15,0))))</x:f>
      </x:c>
      <x:c r="AH51" s="174" t="str">
        <x:f>IF(W51="","",IF(W51="满分档",25,IF(W51="中间档",15,0)))</x:f>
      </x:c>
      <x:c r="AI51" s="174" t="str">
        <x:f>IF(Y51="","",IF(Y51="满分档",25,IF(Y51="中间档",15,0)))</x:f>
      </x:c>
      <x:c r="AJ51" s="174" t="str">
        <x:f>IF(Z51="","",IF(Z51="不适用",0,IF(Z51="满分档",10,IF(Z51="中间档",5,0))))</x:f>
      </x:c>
      <x:c r="AK51" s="168"/>
      <x:c r="AL51" s="165"/>
      <x:c r="AM51" s="168"/>
      <x:c r="AN51" s="165"/>
      <x:c r="AO51" s="171"/>
      <x:c r="AP51" s="171"/>
      <x:c r="AQ51" s="174" t="str">
        <x:f>IF(M51&lt;&gt;"是","",IF(AL51="","",IF(AL51="突出档",10,IF(AL51="达标档",6,0))))</x:f>
      </x:c>
      <x:c r="AR51" s="174" t="str">
        <x:f>IF(M51&lt;&gt;"是","",IF(AN51="","",IF(AN51="突出档",10,IF(AN51="达标档",6,0))))</x:f>
      </x:c>
      <x:c r="AS51" s="174" t="str">
        <x:f>IF(M51&lt;&gt;"是","",IF(OR(AQ51="",AR51=""),"",SUM(AQ51:AR51)))</x:f>
      </x:c>
      <x:c r="AT51" s="174" t="str">
        <x:f>IF(M51&lt;&gt;"是","",IF(OR(AL51="",AN51=""),"",IF(OR(AL51="0分档",AN51="0分档"),"主席履职待改进",IF(AND(AL51="突出档",AN51="突出档"),"主席履职突出","主席履职合格"))))</x:f>
      </x:c>
      <x:c r="AU51" s="174" t="str">
        <x:f>IF(OR(T51="",U51="",W51="",Y51="",Z51=""),"",IF(T51="不适用",0,10)+IF(U51="不适用",0,30)+25+25+IF(Z51="不适用",0,10))</x:f>
      </x:c>
      <x:c r="AV51" s="174" t="str">
        <x:f>IF(AU51="","",SUM(AF51:AJ51))</x:f>
      </x:c>
      <x:c r="AW51" s="186" t="str">
        <x:f>IF(AU51="","",ROUND(AV51/AU51*100,1))</x:f>
      </x:c>
      <x:c r="AX51" s="174" t="str">
        <x:f>IF(OR(AH51="",AI51=""),"",AH51+AI51)</x:f>
      </x:c>
      <x:c r="AY51" s="174" t="str">
        <x:f>IF(AX51="","",IF(AX51&lt;30,"未达标","达到门槛"))</x:f>
      </x:c>
      <x:c r="AZ51" s="174" t="str">
        <x:f>IF(A51="","",IF(OR(O51="仅挂会无有效参与",O51="缺席"),"是","否"))</x:f>
      </x:c>
      <x:c r="BA51" s="186" t="str">
        <x:f>IF(A51="","",IF(AZ51="是",0,AW51))</x:f>
      </x:c>
      <x:c r="BB51" s="174"/>
      <x:c r="BC51" s="186"/>
      <x:c r="BD51" s="186" t="str">
        <x:f>IF(A51="","",BA51)</x:f>
      </x:c>
      <x:c r="BE51" s="161"/>
      <x:c r="BF51" s="161"/>
      <x:c r="BG51" s="161"/>
      <x:c r="BH51" s="180"/>
      <x:c r="BI51" s="183"/>
    </x:row>
    <x:row r="52" ht="32" customHeight="1">
      <x:c r="A52" s="160"/>
      <x:c r="B52" s="161"/>
      <x:c r="C52" s="161"/>
      <x:c r="D52" s="161"/>
      <x:c r="E52" s="161"/>
      <x:c r="F52" s="180"/>
      <x:c r="G52" s="161" t="str">
        <x:f>IF(F52="","","H"&amp;IF(MONTH(F52)&lt;=6,1,2))</x:f>
      </x:c>
      <x:c r="H52" s="161"/>
      <x:c r="I52" s="161"/>
      <x:c r="J52" s="161"/>
      <x:c r="K52" s="161"/>
      <x:c r="L52" s="161"/>
      <x:c r="M52" s="161"/>
      <x:c r="N52" s="161"/>
      <x:c r="O52" s="161"/>
      <x:c r="P52" s="161"/>
      <x:c r="Q52" s="161"/>
      <x:c r="R52" s="161"/>
      <x:c r="S52" s="161"/>
      <x:c r="T52" s="165"/>
      <x:c r="U52" s="165"/>
      <x:c r="V52" s="168"/>
      <x:c r="W52" s="165"/>
      <x:c r="X52" s="168"/>
      <x:c r="Y52" s="165"/>
      <x:c r="Z52" s="165"/>
      <x:c r="AA52" s="171"/>
      <x:c r="AB52" s="171"/>
      <x:c r="AC52" s="171"/>
      <x:c r="AD52" s="171"/>
      <x:c r="AE52" s="171"/>
      <x:c r="AF52" s="174" t="str">
        <x:f>IF(T52="","",IF(T52="不适用",0,IF(T52="满分档",10,IF(T52="中间档",5,0))))</x:f>
      </x:c>
      <x:c r="AG52" s="174" t="str">
        <x:f>IF(U52="","",IF(U52="不适用",0,IF(U52="满分档",30,IF(U52="中间档",15,0))))</x:f>
      </x:c>
      <x:c r="AH52" s="174" t="str">
        <x:f>IF(W52="","",IF(W52="满分档",25,IF(W52="中间档",15,0)))</x:f>
      </x:c>
      <x:c r="AI52" s="174" t="str">
        <x:f>IF(Y52="","",IF(Y52="满分档",25,IF(Y52="中间档",15,0)))</x:f>
      </x:c>
      <x:c r="AJ52" s="174" t="str">
        <x:f>IF(Z52="","",IF(Z52="不适用",0,IF(Z52="满分档",10,IF(Z52="中间档",5,0))))</x:f>
      </x:c>
      <x:c r="AK52" s="168"/>
      <x:c r="AL52" s="165"/>
      <x:c r="AM52" s="168"/>
      <x:c r="AN52" s="165"/>
      <x:c r="AO52" s="171"/>
      <x:c r="AP52" s="171"/>
      <x:c r="AQ52" s="174" t="str">
        <x:f>IF(M52&lt;&gt;"是","",IF(AL52="","",IF(AL52="突出档",10,IF(AL52="达标档",6,0))))</x:f>
      </x:c>
      <x:c r="AR52" s="174" t="str">
        <x:f>IF(M52&lt;&gt;"是","",IF(AN52="","",IF(AN52="突出档",10,IF(AN52="达标档",6,0))))</x:f>
      </x:c>
      <x:c r="AS52" s="174" t="str">
        <x:f>IF(M52&lt;&gt;"是","",IF(OR(AQ52="",AR52=""),"",SUM(AQ52:AR52)))</x:f>
      </x:c>
      <x:c r="AT52" s="174" t="str">
        <x:f>IF(M52&lt;&gt;"是","",IF(OR(AL52="",AN52=""),"",IF(OR(AL52="0分档",AN52="0分档"),"主席履职待改进",IF(AND(AL52="突出档",AN52="突出档"),"主席履职突出","主席履职合格"))))</x:f>
      </x:c>
      <x:c r="AU52" s="174" t="str">
        <x:f>IF(OR(T52="",U52="",W52="",Y52="",Z52=""),"",IF(T52="不适用",0,10)+IF(U52="不适用",0,30)+25+25+IF(Z52="不适用",0,10))</x:f>
      </x:c>
      <x:c r="AV52" s="174" t="str">
        <x:f>IF(AU52="","",SUM(AF52:AJ52))</x:f>
      </x:c>
      <x:c r="AW52" s="186" t="str">
        <x:f>IF(AU52="","",ROUND(AV52/AU52*100,1))</x:f>
      </x:c>
      <x:c r="AX52" s="174" t="str">
        <x:f>IF(OR(AH52="",AI52=""),"",AH52+AI52)</x:f>
      </x:c>
      <x:c r="AY52" s="174" t="str">
        <x:f>IF(AX52="","",IF(AX52&lt;30,"未达标","达到门槛"))</x:f>
      </x:c>
      <x:c r="AZ52" s="174" t="str">
        <x:f>IF(A52="","",IF(OR(O52="仅挂会无有效参与",O52="缺席"),"是","否"))</x:f>
      </x:c>
      <x:c r="BA52" s="186" t="str">
        <x:f>IF(A52="","",IF(AZ52="是",0,AW52))</x:f>
      </x:c>
      <x:c r="BB52" s="174"/>
      <x:c r="BC52" s="186"/>
      <x:c r="BD52" s="186" t="str">
        <x:f>IF(A52="","",BA52)</x:f>
      </x:c>
      <x:c r="BE52" s="161"/>
      <x:c r="BF52" s="161"/>
      <x:c r="BG52" s="161"/>
      <x:c r="BH52" s="180"/>
      <x:c r="BI52" s="183"/>
    </x:row>
    <x:row r="53" ht="32" customHeight="1">
      <x:c r="A53" s="160"/>
      <x:c r="B53" s="161"/>
      <x:c r="C53" s="161"/>
      <x:c r="D53" s="161"/>
      <x:c r="E53" s="161"/>
      <x:c r="F53" s="180"/>
      <x:c r="G53" s="161" t="str">
        <x:f>IF(F53="","","H"&amp;IF(MONTH(F53)&lt;=6,1,2))</x:f>
      </x:c>
      <x:c r="H53" s="161"/>
      <x:c r="I53" s="161"/>
      <x:c r="J53" s="161"/>
      <x:c r="K53" s="161"/>
      <x:c r="L53" s="161"/>
      <x:c r="M53" s="161"/>
      <x:c r="N53" s="161"/>
      <x:c r="O53" s="161"/>
      <x:c r="P53" s="161"/>
      <x:c r="Q53" s="161"/>
      <x:c r="R53" s="161"/>
      <x:c r="S53" s="161"/>
      <x:c r="T53" s="165"/>
      <x:c r="U53" s="165"/>
      <x:c r="V53" s="168"/>
      <x:c r="W53" s="165"/>
      <x:c r="X53" s="168"/>
      <x:c r="Y53" s="165"/>
      <x:c r="Z53" s="165"/>
      <x:c r="AA53" s="171"/>
      <x:c r="AB53" s="171"/>
      <x:c r="AC53" s="171"/>
      <x:c r="AD53" s="171"/>
      <x:c r="AE53" s="171"/>
      <x:c r="AF53" s="174" t="str">
        <x:f>IF(T53="","",IF(T53="不适用",0,IF(T53="满分档",10,IF(T53="中间档",5,0))))</x:f>
      </x:c>
      <x:c r="AG53" s="174" t="str">
        <x:f>IF(U53="","",IF(U53="不适用",0,IF(U53="满分档",30,IF(U53="中间档",15,0))))</x:f>
      </x:c>
      <x:c r="AH53" s="174" t="str">
        <x:f>IF(W53="","",IF(W53="满分档",25,IF(W53="中间档",15,0)))</x:f>
      </x:c>
      <x:c r="AI53" s="174" t="str">
        <x:f>IF(Y53="","",IF(Y53="满分档",25,IF(Y53="中间档",15,0)))</x:f>
      </x:c>
      <x:c r="AJ53" s="174" t="str">
        <x:f>IF(Z53="","",IF(Z53="不适用",0,IF(Z53="满分档",10,IF(Z53="中间档",5,0))))</x:f>
      </x:c>
      <x:c r="AK53" s="168"/>
      <x:c r="AL53" s="165"/>
      <x:c r="AM53" s="168"/>
      <x:c r="AN53" s="165"/>
      <x:c r="AO53" s="171"/>
      <x:c r="AP53" s="171"/>
      <x:c r="AQ53" s="174" t="str">
        <x:f>IF(M53&lt;&gt;"是","",IF(AL53="","",IF(AL53="突出档",10,IF(AL53="达标档",6,0))))</x:f>
      </x:c>
      <x:c r="AR53" s="174" t="str">
        <x:f>IF(M53&lt;&gt;"是","",IF(AN53="","",IF(AN53="突出档",10,IF(AN53="达标档",6,0))))</x:f>
      </x:c>
      <x:c r="AS53" s="174" t="str">
        <x:f>IF(M53&lt;&gt;"是","",IF(OR(AQ53="",AR53=""),"",SUM(AQ53:AR53)))</x:f>
      </x:c>
      <x:c r="AT53" s="174" t="str">
        <x:f>IF(M53&lt;&gt;"是","",IF(OR(AL53="",AN53=""),"",IF(OR(AL53="0分档",AN53="0分档"),"主席履职待改进",IF(AND(AL53="突出档",AN53="突出档"),"主席履职突出","主席履职合格"))))</x:f>
      </x:c>
      <x:c r="AU53" s="174" t="str">
        <x:f>IF(OR(T53="",U53="",W53="",Y53="",Z53=""),"",IF(T53="不适用",0,10)+IF(U53="不适用",0,30)+25+25+IF(Z53="不适用",0,10))</x:f>
      </x:c>
      <x:c r="AV53" s="174" t="str">
        <x:f>IF(AU53="","",SUM(AF53:AJ53))</x:f>
      </x:c>
      <x:c r="AW53" s="186" t="str">
        <x:f>IF(AU53="","",ROUND(AV53/AU53*100,1))</x:f>
      </x:c>
      <x:c r="AX53" s="174" t="str">
        <x:f>IF(OR(AH53="",AI53=""),"",AH53+AI53)</x:f>
      </x:c>
      <x:c r="AY53" s="174" t="str">
        <x:f>IF(AX53="","",IF(AX53&lt;30,"未达标","达到门槛"))</x:f>
      </x:c>
      <x:c r="AZ53" s="174" t="str">
        <x:f>IF(A53="","",IF(OR(O53="仅挂会无有效参与",O53="缺席"),"是","否"))</x:f>
      </x:c>
      <x:c r="BA53" s="186" t="str">
        <x:f>IF(A53="","",IF(AZ53="是",0,AW53))</x:f>
      </x:c>
      <x:c r="BB53" s="174"/>
      <x:c r="BC53" s="186"/>
      <x:c r="BD53" s="186" t="str">
        <x:f>IF(A53="","",BA53)</x:f>
      </x:c>
      <x:c r="BE53" s="161"/>
      <x:c r="BF53" s="161"/>
      <x:c r="BG53" s="161"/>
      <x:c r="BH53" s="180"/>
      <x:c r="BI53" s="183"/>
    </x:row>
    <x:row r="54" ht="32" customHeight="1">
      <x:c r="A54" s="160"/>
      <x:c r="B54" s="161"/>
      <x:c r="C54" s="161"/>
      <x:c r="D54" s="161"/>
      <x:c r="E54" s="161"/>
      <x:c r="F54" s="180"/>
      <x:c r="G54" s="161" t="str">
        <x:f>IF(F54="","","H"&amp;IF(MONTH(F54)&lt;=6,1,2))</x:f>
      </x:c>
      <x:c r="H54" s="161"/>
      <x:c r="I54" s="161"/>
      <x:c r="J54" s="161"/>
      <x:c r="K54" s="161"/>
      <x:c r="L54" s="161"/>
      <x:c r="M54" s="161"/>
      <x:c r="N54" s="161"/>
      <x:c r="O54" s="161"/>
      <x:c r="P54" s="161"/>
      <x:c r="Q54" s="161"/>
      <x:c r="R54" s="161"/>
      <x:c r="S54" s="161"/>
      <x:c r="T54" s="165"/>
      <x:c r="U54" s="165"/>
      <x:c r="V54" s="168"/>
      <x:c r="W54" s="165"/>
      <x:c r="X54" s="168"/>
      <x:c r="Y54" s="165"/>
      <x:c r="Z54" s="165"/>
      <x:c r="AA54" s="171"/>
      <x:c r="AB54" s="171"/>
      <x:c r="AC54" s="171"/>
      <x:c r="AD54" s="171"/>
      <x:c r="AE54" s="171"/>
      <x:c r="AF54" s="174" t="str">
        <x:f>IF(T54="","",IF(T54="不适用",0,IF(T54="满分档",10,IF(T54="中间档",5,0))))</x:f>
      </x:c>
      <x:c r="AG54" s="174" t="str">
        <x:f>IF(U54="","",IF(U54="不适用",0,IF(U54="满分档",30,IF(U54="中间档",15,0))))</x:f>
      </x:c>
      <x:c r="AH54" s="174" t="str">
        <x:f>IF(W54="","",IF(W54="满分档",25,IF(W54="中间档",15,0)))</x:f>
      </x:c>
      <x:c r="AI54" s="174" t="str">
        <x:f>IF(Y54="","",IF(Y54="满分档",25,IF(Y54="中间档",15,0)))</x:f>
      </x:c>
      <x:c r="AJ54" s="174" t="str">
        <x:f>IF(Z54="","",IF(Z54="不适用",0,IF(Z54="满分档",10,IF(Z54="中间档",5,0))))</x:f>
      </x:c>
      <x:c r="AK54" s="168"/>
      <x:c r="AL54" s="165"/>
      <x:c r="AM54" s="168"/>
      <x:c r="AN54" s="165"/>
      <x:c r="AO54" s="171"/>
      <x:c r="AP54" s="171"/>
      <x:c r="AQ54" s="174" t="str">
        <x:f>IF(M54&lt;&gt;"是","",IF(AL54="","",IF(AL54="突出档",10,IF(AL54="达标档",6,0))))</x:f>
      </x:c>
      <x:c r="AR54" s="174" t="str">
        <x:f>IF(M54&lt;&gt;"是","",IF(AN54="","",IF(AN54="突出档",10,IF(AN54="达标档",6,0))))</x:f>
      </x:c>
      <x:c r="AS54" s="174" t="str">
        <x:f>IF(M54&lt;&gt;"是","",IF(OR(AQ54="",AR54=""),"",SUM(AQ54:AR54)))</x:f>
      </x:c>
      <x:c r="AT54" s="174" t="str">
        <x:f>IF(M54&lt;&gt;"是","",IF(OR(AL54="",AN54=""),"",IF(OR(AL54="0分档",AN54="0分档"),"主席履职待改进",IF(AND(AL54="突出档",AN54="突出档"),"主席履职突出","主席履职合格"))))</x:f>
      </x:c>
      <x:c r="AU54" s="174" t="str">
        <x:f>IF(OR(T54="",U54="",W54="",Y54="",Z54=""),"",IF(T54="不适用",0,10)+IF(U54="不适用",0,30)+25+25+IF(Z54="不适用",0,10))</x:f>
      </x:c>
      <x:c r="AV54" s="174" t="str">
        <x:f>IF(AU54="","",SUM(AF54:AJ54))</x:f>
      </x:c>
      <x:c r="AW54" s="186" t="str">
        <x:f>IF(AU54="","",ROUND(AV54/AU54*100,1))</x:f>
      </x:c>
      <x:c r="AX54" s="174" t="str">
        <x:f>IF(OR(AH54="",AI54=""),"",AH54+AI54)</x:f>
      </x:c>
      <x:c r="AY54" s="174" t="str">
        <x:f>IF(AX54="","",IF(AX54&lt;30,"未达标","达到门槛"))</x:f>
      </x:c>
      <x:c r="AZ54" s="174" t="str">
        <x:f>IF(A54="","",IF(OR(O54="仅挂会无有效参与",O54="缺席"),"是","否"))</x:f>
      </x:c>
      <x:c r="BA54" s="186" t="str">
        <x:f>IF(A54="","",IF(AZ54="是",0,AW54))</x:f>
      </x:c>
      <x:c r="BB54" s="174"/>
      <x:c r="BC54" s="186"/>
      <x:c r="BD54" s="186" t="str">
        <x:f>IF(A54="","",BA54)</x:f>
      </x:c>
      <x:c r="BE54" s="161"/>
      <x:c r="BF54" s="161"/>
      <x:c r="BG54" s="161"/>
      <x:c r="BH54" s="180"/>
      <x:c r="BI54" s="183"/>
    </x:row>
    <x:row r="55" ht="32" customHeight="1">
      <x:c r="A55" s="160"/>
      <x:c r="B55" s="161"/>
      <x:c r="C55" s="161"/>
      <x:c r="D55" s="161"/>
      <x:c r="E55" s="161"/>
      <x:c r="F55" s="180"/>
      <x:c r="G55" s="161" t="str">
        <x:f>IF(F55="","","H"&amp;IF(MONTH(F55)&lt;=6,1,2))</x:f>
      </x:c>
      <x:c r="H55" s="161"/>
      <x:c r="I55" s="161"/>
      <x:c r="J55" s="161"/>
      <x:c r="K55" s="161"/>
      <x:c r="L55" s="161"/>
      <x:c r="M55" s="161"/>
      <x:c r="N55" s="161"/>
      <x:c r="O55" s="161"/>
      <x:c r="P55" s="161"/>
      <x:c r="Q55" s="161"/>
      <x:c r="R55" s="161"/>
      <x:c r="S55" s="161"/>
      <x:c r="T55" s="165"/>
      <x:c r="U55" s="165"/>
      <x:c r="V55" s="168"/>
      <x:c r="W55" s="165"/>
      <x:c r="X55" s="168"/>
      <x:c r="Y55" s="165"/>
      <x:c r="Z55" s="165"/>
      <x:c r="AA55" s="171"/>
      <x:c r="AB55" s="171"/>
      <x:c r="AC55" s="171"/>
      <x:c r="AD55" s="171"/>
      <x:c r="AE55" s="171"/>
      <x:c r="AF55" s="174" t="str">
        <x:f>IF(T55="","",IF(T55="不适用",0,IF(T55="满分档",10,IF(T55="中间档",5,0))))</x:f>
      </x:c>
      <x:c r="AG55" s="174" t="str">
        <x:f>IF(U55="","",IF(U55="不适用",0,IF(U55="满分档",30,IF(U55="中间档",15,0))))</x:f>
      </x:c>
      <x:c r="AH55" s="174" t="str">
        <x:f>IF(W55="","",IF(W55="满分档",25,IF(W55="中间档",15,0)))</x:f>
      </x:c>
      <x:c r="AI55" s="174" t="str">
        <x:f>IF(Y55="","",IF(Y55="满分档",25,IF(Y55="中间档",15,0)))</x:f>
      </x:c>
      <x:c r="AJ55" s="174" t="str">
        <x:f>IF(Z55="","",IF(Z55="不适用",0,IF(Z55="满分档",10,IF(Z55="中间档",5,0))))</x:f>
      </x:c>
      <x:c r="AK55" s="168"/>
      <x:c r="AL55" s="165"/>
      <x:c r="AM55" s="168"/>
      <x:c r="AN55" s="165"/>
      <x:c r="AO55" s="171"/>
      <x:c r="AP55" s="171"/>
      <x:c r="AQ55" s="174" t="str">
        <x:f>IF(M55&lt;&gt;"是","",IF(AL55="","",IF(AL55="突出档",10,IF(AL55="达标档",6,0))))</x:f>
      </x:c>
      <x:c r="AR55" s="174" t="str">
        <x:f>IF(M55&lt;&gt;"是","",IF(AN55="","",IF(AN55="突出档",10,IF(AN55="达标档",6,0))))</x:f>
      </x:c>
      <x:c r="AS55" s="174" t="str">
        <x:f>IF(M55&lt;&gt;"是","",IF(OR(AQ55="",AR55=""),"",SUM(AQ55:AR55)))</x:f>
      </x:c>
      <x:c r="AT55" s="174" t="str">
        <x:f>IF(M55&lt;&gt;"是","",IF(OR(AL55="",AN55=""),"",IF(OR(AL55="0分档",AN55="0分档"),"主席履职待改进",IF(AND(AL55="突出档",AN55="突出档"),"主席履职突出","主席履职合格"))))</x:f>
      </x:c>
      <x:c r="AU55" s="174" t="str">
        <x:f>IF(OR(T55="",U55="",W55="",Y55="",Z55=""),"",IF(T55="不适用",0,10)+IF(U55="不适用",0,30)+25+25+IF(Z55="不适用",0,10))</x:f>
      </x:c>
      <x:c r="AV55" s="174" t="str">
        <x:f>IF(AU55="","",SUM(AF55:AJ55))</x:f>
      </x:c>
      <x:c r="AW55" s="186" t="str">
        <x:f>IF(AU55="","",ROUND(AV55/AU55*100,1))</x:f>
      </x:c>
      <x:c r="AX55" s="174" t="str">
        <x:f>IF(OR(AH55="",AI55=""),"",AH55+AI55)</x:f>
      </x:c>
      <x:c r="AY55" s="174" t="str">
        <x:f>IF(AX55="","",IF(AX55&lt;30,"未达标","达到门槛"))</x:f>
      </x:c>
      <x:c r="AZ55" s="174" t="str">
        <x:f>IF(A55="","",IF(OR(O55="仅挂会无有效参与",O55="缺席"),"是","否"))</x:f>
      </x:c>
      <x:c r="BA55" s="186" t="str">
        <x:f>IF(A55="","",IF(AZ55="是",0,AW55))</x:f>
      </x:c>
      <x:c r="BB55" s="174"/>
      <x:c r="BC55" s="186"/>
      <x:c r="BD55" s="186" t="str">
        <x:f>IF(A55="","",BA55)</x:f>
      </x:c>
      <x:c r="BE55" s="161"/>
      <x:c r="BF55" s="161"/>
      <x:c r="BG55" s="161"/>
      <x:c r="BH55" s="180"/>
      <x:c r="BI55" s="183"/>
    </x:row>
    <x:row r="56" ht="32" customHeight="1">
      <x:c r="A56" s="160"/>
      <x:c r="B56" s="161"/>
      <x:c r="C56" s="161"/>
      <x:c r="D56" s="161"/>
      <x:c r="E56" s="161"/>
      <x:c r="F56" s="180"/>
      <x:c r="G56" s="161" t="str">
        <x:f>IF(F56="","","H"&amp;IF(MONTH(F56)&lt;=6,1,2))</x:f>
      </x:c>
      <x:c r="H56" s="161"/>
      <x:c r="I56" s="161"/>
      <x:c r="J56" s="161"/>
      <x:c r="K56" s="161"/>
      <x:c r="L56" s="161"/>
      <x:c r="M56" s="161"/>
      <x:c r="N56" s="161"/>
      <x:c r="O56" s="161"/>
      <x:c r="P56" s="161"/>
      <x:c r="Q56" s="161"/>
      <x:c r="R56" s="161"/>
      <x:c r="S56" s="161"/>
      <x:c r="T56" s="165"/>
      <x:c r="U56" s="165"/>
      <x:c r="V56" s="168"/>
      <x:c r="W56" s="165"/>
      <x:c r="X56" s="168"/>
      <x:c r="Y56" s="165"/>
      <x:c r="Z56" s="165"/>
      <x:c r="AA56" s="171"/>
      <x:c r="AB56" s="171"/>
      <x:c r="AC56" s="171"/>
      <x:c r="AD56" s="171"/>
      <x:c r="AE56" s="171"/>
      <x:c r="AF56" s="174" t="str">
        <x:f>IF(T56="","",IF(T56="不适用",0,IF(T56="满分档",10,IF(T56="中间档",5,0))))</x:f>
      </x:c>
      <x:c r="AG56" s="174" t="str">
        <x:f>IF(U56="","",IF(U56="不适用",0,IF(U56="满分档",30,IF(U56="中间档",15,0))))</x:f>
      </x:c>
      <x:c r="AH56" s="174" t="str">
        <x:f>IF(W56="","",IF(W56="满分档",25,IF(W56="中间档",15,0)))</x:f>
      </x:c>
      <x:c r="AI56" s="174" t="str">
        <x:f>IF(Y56="","",IF(Y56="满分档",25,IF(Y56="中间档",15,0)))</x:f>
      </x:c>
      <x:c r="AJ56" s="174" t="str">
        <x:f>IF(Z56="","",IF(Z56="不适用",0,IF(Z56="满分档",10,IF(Z56="中间档",5,0))))</x:f>
      </x:c>
      <x:c r="AK56" s="168"/>
      <x:c r="AL56" s="165"/>
      <x:c r="AM56" s="168"/>
      <x:c r="AN56" s="165"/>
      <x:c r="AO56" s="171"/>
      <x:c r="AP56" s="171"/>
      <x:c r="AQ56" s="174" t="str">
        <x:f>IF(M56&lt;&gt;"是","",IF(AL56="","",IF(AL56="突出档",10,IF(AL56="达标档",6,0))))</x:f>
      </x:c>
      <x:c r="AR56" s="174" t="str">
        <x:f>IF(M56&lt;&gt;"是","",IF(AN56="","",IF(AN56="突出档",10,IF(AN56="达标档",6,0))))</x:f>
      </x:c>
      <x:c r="AS56" s="174" t="str">
        <x:f>IF(M56&lt;&gt;"是","",IF(OR(AQ56="",AR56=""),"",SUM(AQ56:AR56)))</x:f>
      </x:c>
      <x:c r="AT56" s="174" t="str">
        <x:f>IF(M56&lt;&gt;"是","",IF(OR(AL56="",AN56=""),"",IF(OR(AL56="0分档",AN56="0分档"),"主席履职待改进",IF(AND(AL56="突出档",AN56="突出档"),"主席履职突出","主席履职合格"))))</x:f>
      </x:c>
      <x:c r="AU56" s="174" t="str">
        <x:f>IF(OR(T56="",U56="",W56="",Y56="",Z56=""),"",IF(T56="不适用",0,10)+IF(U56="不适用",0,30)+25+25+IF(Z56="不适用",0,10))</x:f>
      </x:c>
      <x:c r="AV56" s="174" t="str">
        <x:f>IF(AU56="","",SUM(AF56:AJ56))</x:f>
      </x:c>
      <x:c r="AW56" s="186" t="str">
        <x:f>IF(AU56="","",ROUND(AV56/AU56*100,1))</x:f>
      </x:c>
      <x:c r="AX56" s="174" t="str">
        <x:f>IF(OR(AH56="",AI56=""),"",AH56+AI56)</x:f>
      </x:c>
      <x:c r="AY56" s="174" t="str">
        <x:f>IF(AX56="","",IF(AX56&lt;30,"未达标","达到门槛"))</x:f>
      </x:c>
      <x:c r="AZ56" s="174" t="str">
        <x:f>IF(A56="","",IF(OR(O56="仅挂会无有效参与",O56="缺席"),"是","否"))</x:f>
      </x:c>
      <x:c r="BA56" s="186" t="str">
        <x:f>IF(A56="","",IF(AZ56="是",0,AW56))</x:f>
      </x:c>
      <x:c r="BB56" s="174"/>
      <x:c r="BC56" s="186"/>
      <x:c r="BD56" s="186" t="str">
        <x:f>IF(A56="","",BA56)</x:f>
      </x:c>
      <x:c r="BE56" s="161"/>
      <x:c r="BF56" s="161"/>
      <x:c r="BG56" s="161"/>
      <x:c r="BH56" s="180"/>
      <x:c r="BI56" s="183"/>
    </x:row>
    <x:row r="57" ht="32" customHeight="1">
      <x:c r="A57" s="160"/>
      <x:c r="B57" s="161"/>
      <x:c r="C57" s="161"/>
      <x:c r="D57" s="161"/>
      <x:c r="E57" s="161"/>
      <x:c r="F57" s="180"/>
      <x:c r="G57" s="161" t="str">
        <x:f>IF(F57="","","H"&amp;IF(MONTH(F57)&lt;=6,1,2))</x:f>
      </x:c>
      <x:c r="H57" s="161"/>
      <x:c r="I57" s="161"/>
      <x:c r="J57" s="161"/>
      <x:c r="K57" s="161"/>
      <x:c r="L57" s="161"/>
      <x:c r="M57" s="161"/>
      <x:c r="N57" s="161"/>
      <x:c r="O57" s="161"/>
      <x:c r="P57" s="161"/>
      <x:c r="Q57" s="161"/>
      <x:c r="R57" s="161"/>
      <x:c r="S57" s="161"/>
      <x:c r="T57" s="165"/>
      <x:c r="U57" s="165"/>
      <x:c r="V57" s="168"/>
      <x:c r="W57" s="165"/>
      <x:c r="X57" s="168"/>
      <x:c r="Y57" s="165"/>
      <x:c r="Z57" s="165"/>
      <x:c r="AA57" s="171"/>
      <x:c r="AB57" s="171"/>
      <x:c r="AC57" s="171"/>
      <x:c r="AD57" s="171"/>
      <x:c r="AE57" s="171"/>
      <x:c r="AF57" s="174" t="str">
        <x:f>IF(T57="","",IF(T57="不适用",0,IF(T57="满分档",10,IF(T57="中间档",5,0))))</x:f>
      </x:c>
      <x:c r="AG57" s="174" t="str">
        <x:f>IF(U57="","",IF(U57="不适用",0,IF(U57="满分档",30,IF(U57="中间档",15,0))))</x:f>
      </x:c>
      <x:c r="AH57" s="174" t="str">
        <x:f>IF(W57="","",IF(W57="满分档",25,IF(W57="中间档",15,0)))</x:f>
      </x:c>
      <x:c r="AI57" s="174" t="str">
        <x:f>IF(Y57="","",IF(Y57="满分档",25,IF(Y57="中间档",15,0)))</x:f>
      </x:c>
      <x:c r="AJ57" s="174" t="str">
        <x:f>IF(Z57="","",IF(Z57="不适用",0,IF(Z57="满分档",10,IF(Z57="中间档",5,0))))</x:f>
      </x:c>
      <x:c r="AK57" s="168"/>
      <x:c r="AL57" s="165"/>
      <x:c r="AM57" s="168"/>
      <x:c r="AN57" s="165"/>
      <x:c r="AO57" s="171"/>
      <x:c r="AP57" s="171"/>
      <x:c r="AQ57" s="174" t="str">
        <x:f>IF(M57&lt;&gt;"是","",IF(AL57="","",IF(AL57="突出档",10,IF(AL57="达标档",6,0))))</x:f>
      </x:c>
      <x:c r="AR57" s="174" t="str">
        <x:f>IF(M57&lt;&gt;"是","",IF(AN57="","",IF(AN57="突出档",10,IF(AN57="达标档",6,0))))</x:f>
      </x:c>
      <x:c r="AS57" s="174" t="str">
        <x:f>IF(M57&lt;&gt;"是","",IF(OR(AQ57="",AR57=""),"",SUM(AQ57:AR57)))</x:f>
      </x:c>
      <x:c r="AT57" s="174" t="str">
        <x:f>IF(M57&lt;&gt;"是","",IF(OR(AL57="",AN57=""),"",IF(OR(AL57="0分档",AN57="0分档"),"主席履职待改进",IF(AND(AL57="突出档",AN57="突出档"),"主席履职突出","主席履职合格"))))</x:f>
      </x:c>
      <x:c r="AU57" s="174" t="str">
        <x:f>IF(OR(T57="",U57="",W57="",Y57="",Z57=""),"",IF(T57="不适用",0,10)+IF(U57="不适用",0,30)+25+25+IF(Z57="不适用",0,10))</x:f>
      </x:c>
      <x:c r="AV57" s="174" t="str">
        <x:f>IF(AU57="","",SUM(AF57:AJ57))</x:f>
      </x:c>
      <x:c r="AW57" s="186" t="str">
        <x:f>IF(AU57="","",ROUND(AV57/AU57*100,1))</x:f>
      </x:c>
      <x:c r="AX57" s="174" t="str">
        <x:f>IF(OR(AH57="",AI57=""),"",AH57+AI57)</x:f>
      </x:c>
      <x:c r="AY57" s="174" t="str">
        <x:f>IF(AX57="","",IF(AX57&lt;30,"未达标","达到门槛"))</x:f>
      </x:c>
      <x:c r="AZ57" s="174" t="str">
        <x:f>IF(A57="","",IF(OR(O57="仅挂会无有效参与",O57="缺席"),"是","否"))</x:f>
      </x:c>
      <x:c r="BA57" s="186" t="str">
        <x:f>IF(A57="","",IF(AZ57="是",0,AW57))</x:f>
      </x:c>
      <x:c r="BB57" s="174"/>
      <x:c r="BC57" s="186"/>
      <x:c r="BD57" s="186" t="str">
        <x:f>IF(A57="","",BA57)</x:f>
      </x:c>
      <x:c r="BE57" s="161"/>
      <x:c r="BF57" s="161"/>
      <x:c r="BG57" s="161"/>
      <x:c r="BH57" s="180"/>
      <x:c r="BI57" s="183"/>
    </x:row>
    <x:row r="58" ht="32" customHeight="1">
      <x:c r="A58" s="160"/>
      <x:c r="B58" s="161"/>
      <x:c r="C58" s="161"/>
      <x:c r="D58" s="161"/>
      <x:c r="E58" s="161"/>
      <x:c r="F58" s="180"/>
      <x:c r="G58" s="161" t="str">
        <x:f>IF(F58="","","H"&amp;IF(MONTH(F58)&lt;=6,1,2))</x:f>
      </x:c>
      <x:c r="H58" s="161"/>
      <x:c r="I58" s="161"/>
      <x:c r="J58" s="161"/>
      <x:c r="K58" s="161"/>
      <x:c r="L58" s="161"/>
      <x:c r="M58" s="161"/>
      <x:c r="N58" s="161"/>
      <x:c r="O58" s="161"/>
      <x:c r="P58" s="161"/>
      <x:c r="Q58" s="161"/>
      <x:c r="R58" s="161"/>
      <x:c r="S58" s="161"/>
      <x:c r="T58" s="165"/>
      <x:c r="U58" s="165"/>
      <x:c r="V58" s="168"/>
      <x:c r="W58" s="165"/>
      <x:c r="X58" s="168"/>
      <x:c r="Y58" s="165"/>
      <x:c r="Z58" s="165"/>
      <x:c r="AA58" s="171"/>
      <x:c r="AB58" s="171"/>
      <x:c r="AC58" s="171"/>
      <x:c r="AD58" s="171"/>
      <x:c r="AE58" s="171"/>
      <x:c r="AF58" s="174" t="str">
        <x:f>IF(T58="","",IF(T58="不适用",0,IF(T58="满分档",10,IF(T58="中间档",5,0))))</x:f>
      </x:c>
      <x:c r="AG58" s="174" t="str">
        <x:f>IF(U58="","",IF(U58="不适用",0,IF(U58="满分档",30,IF(U58="中间档",15,0))))</x:f>
      </x:c>
      <x:c r="AH58" s="174" t="str">
        <x:f>IF(W58="","",IF(W58="满分档",25,IF(W58="中间档",15,0)))</x:f>
      </x:c>
      <x:c r="AI58" s="174" t="str">
        <x:f>IF(Y58="","",IF(Y58="满分档",25,IF(Y58="中间档",15,0)))</x:f>
      </x:c>
      <x:c r="AJ58" s="174" t="str">
        <x:f>IF(Z58="","",IF(Z58="不适用",0,IF(Z58="满分档",10,IF(Z58="中间档",5,0))))</x:f>
      </x:c>
      <x:c r="AK58" s="168"/>
      <x:c r="AL58" s="165"/>
      <x:c r="AM58" s="168"/>
      <x:c r="AN58" s="165"/>
      <x:c r="AO58" s="171"/>
      <x:c r="AP58" s="171"/>
      <x:c r="AQ58" s="174" t="str">
        <x:f>IF(M58&lt;&gt;"是","",IF(AL58="","",IF(AL58="突出档",10,IF(AL58="达标档",6,0))))</x:f>
      </x:c>
      <x:c r="AR58" s="174" t="str">
        <x:f>IF(M58&lt;&gt;"是","",IF(AN58="","",IF(AN58="突出档",10,IF(AN58="达标档",6,0))))</x:f>
      </x:c>
      <x:c r="AS58" s="174" t="str">
        <x:f>IF(M58&lt;&gt;"是","",IF(OR(AQ58="",AR58=""),"",SUM(AQ58:AR58)))</x:f>
      </x:c>
      <x:c r="AT58" s="174" t="str">
        <x:f>IF(M58&lt;&gt;"是","",IF(OR(AL58="",AN58=""),"",IF(OR(AL58="0分档",AN58="0分档"),"主席履职待改进",IF(AND(AL58="突出档",AN58="突出档"),"主席履职突出","主席履职合格"))))</x:f>
      </x:c>
      <x:c r="AU58" s="174" t="str">
        <x:f>IF(OR(T58="",U58="",W58="",Y58="",Z58=""),"",IF(T58="不适用",0,10)+IF(U58="不适用",0,30)+25+25+IF(Z58="不适用",0,10))</x:f>
      </x:c>
      <x:c r="AV58" s="174" t="str">
        <x:f>IF(AU58="","",SUM(AF58:AJ58))</x:f>
      </x:c>
      <x:c r="AW58" s="186" t="str">
        <x:f>IF(AU58="","",ROUND(AV58/AU58*100,1))</x:f>
      </x:c>
      <x:c r="AX58" s="174" t="str">
        <x:f>IF(OR(AH58="",AI58=""),"",AH58+AI58)</x:f>
      </x:c>
      <x:c r="AY58" s="174" t="str">
        <x:f>IF(AX58="","",IF(AX58&lt;30,"未达标","达到门槛"))</x:f>
      </x:c>
      <x:c r="AZ58" s="174" t="str">
        <x:f>IF(A58="","",IF(OR(O58="仅挂会无有效参与",O58="缺席"),"是","否"))</x:f>
      </x:c>
      <x:c r="BA58" s="186" t="str">
        <x:f>IF(A58="","",IF(AZ58="是",0,AW58))</x:f>
      </x:c>
      <x:c r="BB58" s="174"/>
      <x:c r="BC58" s="186"/>
      <x:c r="BD58" s="186" t="str">
        <x:f>IF(A58="","",BA58)</x:f>
      </x:c>
      <x:c r="BE58" s="161"/>
      <x:c r="BF58" s="161"/>
      <x:c r="BG58" s="161"/>
      <x:c r="BH58" s="180"/>
      <x:c r="BI58" s="183"/>
    </x:row>
    <x:row r="59" ht="32" customHeight="1">
      <x:c r="A59" s="160"/>
      <x:c r="B59" s="161"/>
      <x:c r="C59" s="161"/>
      <x:c r="D59" s="161"/>
      <x:c r="E59" s="161"/>
      <x:c r="F59" s="180"/>
      <x:c r="G59" s="161" t="str">
        <x:f>IF(F59="","","H"&amp;IF(MONTH(F59)&lt;=6,1,2))</x:f>
      </x:c>
      <x:c r="H59" s="161"/>
      <x:c r="I59" s="161"/>
      <x:c r="J59" s="161"/>
      <x:c r="K59" s="161"/>
      <x:c r="L59" s="161"/>
      <x:c r="M59" s="161"/>
      <x:c r="N59" s="161"/>
      <x:c r="O59" s="161"/>
      <x:c r="P59" s="161"/>
      <x:c r="Q59" s="161"/>
      <x:c r="R59" s="161"/>
      <x:c r="S59" s="161"/>
      <x:c r="T59" s="165"/>
      <x:c r="U59" s="165"/>
      <x:c r="V59" s="168"/>
      <x:c r="W59" s="165"/>
      <x:c r="X59" s="168"/>
      <x:c r="Y59" s="165"/>
      <x:c r="Z59" s="165"/>
      <x:c r="AA59" s="171"/>
      <x:c r="AB59" s="171"/>
      <x:c r="AC59" s="171"/>
      <x:c r="AD59" s="171"/>
      <x:c r="AE59" s="171"/>
      <x:c r="AF59" s="174" t="str">
        <x:f>IF(T59="","",IF(T59="不适用",0,IF(T59="满分档",10,IF(T59="中间档",5,0))))</x:f>
      </x:c>
      <x:c r="AG59" s="174" t="str">
        <x:f>IF(U59="","",IF(U59="不适用",0,IF(U59="满分档",30,IF(U59="中间档",15,0))))</x:f>
      </x:c>
      <x:c r="AH59" s="174" t="str">
        <x:f>IF(W59="","",IF(W59="满分档",25,IF(W59="中间档",15,0)))</x:f>
      </x:c>
      <x:c r="AI59" s="174" t="str">
        <x:f>IF(Y59="","",IF(Y59="满分档",25,IF(Y59="中间档",15,0)))</x:f>
      </x:c>
      <x:c r="AJ59" s="174" t="str">
        <x:f>IF(Z59="","",IF(Z59="不适用",0,IF(Z59="满分档",10,IF(Z59="中间档",5,0))))</x:f>
      </x:c>
      <x:c r="AK59" s="168"/>
      <x:c r="AL59" s="165"/>
      <x:c r="AM59" s="168"/>
      <x:c r="AN59" s="165"/>
      <x:c r="AO59" s="171"/>
      <x:c r="AP59" s="171"/>
      <x:c r="AQ59" s="174" t="str">
        <x:f>IF(M59&lt;&gt;"是","",IF(AL59="","",IF(AL59="突出档",10,IF(AL59="达标档",6,0))))</x:f>
      </x:c>
      <x:c r="AR59" s="174" t="str">
        <x:f>IF(M59&lt;&gt;"是","",IF(AN59="","",IF(AN59="突出档",10,IF(AN59="达标档",6,0))))</x:f>
      </x:c>
      <x:c r="AS59" s="174" t="str">
        <x:f>IF(M59&lt;&gt;"是","",IF(OR(AQ59="",AR59=""),"",SUM(AQ59:AR59)))</x:f>
      </x:c>
      <x:c r="AT59" s="174" t="str">
        <x:f>IF(M59&lt;&gt;"是","",IF(OR(AL59="",AN59=""),"",IF(OR(AL59="0分档",AN59="0分档"),"主席履职待改进",IF(AND(AL59="突出档",AN59="突出档"),"主席履职突出","主席履职合格"))))</x:f>
      </x:c>
      <x:c r="AU59" s="174" t="str">
        <x:f>IF(OR(T59="",U59="",W59="",Y59="",Z59=""),"",IF(T59="不适用",0,10)+IF(U59="不适用",0,30)+25+25+IF(Z59="不适用",0,10))</x:f>
      </x:c>
      <x:c r="AV59" s="174" t="str">
        <x:f>IF(AU59="","",SUM(AF59:AJ59))</x:f>
      </x:c>
      <x:c r="AW59" s="186" t="str">
        <x:f>IF(AU59="","",ROUND(AV59/AU59*100,1))</x:f>
      </x:c>
      <x:c r="AX59" s="174" t="str">
        <x:f>IF(OR(AH59="",AI59=""),"",AH59+AI59)</x:f>
      </x:c>
      <x:c r="AY59" s="174" t="str">
        <x:f>IF(AX59="","",IF(AX59&lt;30,"未达标","达到门槛"))</x:f>
      </x:c>
      <x:c r="AZ59" s="174" t="str">
        <x:f>IF(A59="","",IF(OR(O59="仅挂会无有效参与",O59="缺席"),"是","否"))</x:f>
      </x:c>
      <x:c r="BA59" s="186" t="str">
        <x:f>IF(A59="","",IF(AZ59="是",0,AW59))</x:f>
      </x:c>
      <x:c r="BB59" s="174"/>
      <x:c r="BC59" s="186"/>
      <x:c r="BD59" s="186" t="str">
        <x:f>IF(A59="","",BA59)</x:f>
      </x:c>
      <x:c r="BE59" s="161"/>
      <x:c r="BF59" s="161"/>
      <x:c r="BG59" s="161"/>
      <x:c r="BH59" s="180"/>
      <x:c r="BI59" s="183"/>
    </x:row>
    <x:row r="60" ht="32" customHeight="1">
      <x:c r="A60" s="160"/>
      <x:c r="B60" s="161"/>
      <x:c r="C60" s="161"/>
      <x:c r="D60" s="161"/>
      <x:c r="E60" s="161"/>
      <x:c r="F60" s="180"/>
      <x:c r="G60" s="161" t="str">
        <x:f>IF(F60="","","H"&amp;IF(MONTH(F60)&lt;=6,1,2))</x:f>
      </x:c>
      <x:c r="H60" s="161"/>
      <x:c r="I60" s="161"/>
      <x:c r="J60" s="161"/>
      <x:c r="K60" s="161"/>
      <x:c r="L60" s="161"/>
      <x:c r="M60" s="161"/>
      <x:c r="N60" s="161"/>
      <x:c r="O60" s="161"/>
      <x:c r="P60" s="161"/>
      <x:c r="Q60" s="161"/>
      <x:c r="R60" s="161"/>
      <x:c r="S60" s="161"/>
      <x:c r="T60" s="165"/>
      <x:c r="U60" s="165"/>
      <x:c r="V60" s="168"/>
      <x:c r="W60" s="165"/>
      <x:c r="X60" s="168"/>
      <x:c r="Y60" s="165"/>
      <x:c r="Z60" s="165"/>
      <x:c r="AA60" s="171"/>
      <x:c r="AB60" s="171"/>
      <x:c r="AC60" s="171"/>
      <x:c r="AD60" s="171"/>
      <x:c r="AE60" s="171"/>
      <x:c r="AF60" s="174" t="str">
        <x:f>IF(T60="","",IF(T60="不适用",0,IF(T60="满分档",10,IF(T60="中间档",5,0))))</x:f>
      </x:c>
      <x:c r="AG60" s="174" t="str">
        <x:f>IF(U60="","",IF(U60="不适用",0,IF(U60="满分档",30,IF(U60="中间档",15,0))))</x:f>
      </x:c>
      <x:c r="AH60" s="174" t="str">
        <x:f>IF(W60="","",IF(W60="满分档",25,IF(W60="中间档",15,0)))</x:f>
      </x:c>
      <x:c r="AI60" s="174" t="str">
        <x:f>IF(Y60="","",IF(Y60="满分档",25,IF(Y60="中间档",15,0)))</x:f>
      </x:c>
      <x:c r="AJ60" s="174" t="str">
        <x:f>IF(Z60="","",IF(Z60="不适用",0,IF(Z60="满分档",10,IF(Z60="中间档",5,0))))</x:f>
      </x:c>
      <x:c r="AK60" s="168"/>
      <x:c r="AL60" s="165"/>
      <x:c r="AM60" s="168"/>
      <x:c r="AN60" s="165"/>
      <x:c r="AO60" s="171"/>
      <x:c r="AP60" s="171"/>
      <x:c r="AQ60" s="174" t="str">
        <x:f>IF(M60&lt;&gt;"是","",IF(AL60="","",IF(AL60="突出档",10,IF(AL60="达标档",6,0))))</x:f>
      </x:c>
      <x:c r="AR60" s="174" t="str">
        <x:f>IF(M60&lt;&gt;"是","",IF(AN60="","",IF(AN60="突出档",10,IF(AN60="达标档",6,0))))</x:f>
      </x:c>
      <x:c r="AS60" s="174" t="str">
        <x:f>IF(M60&lt;&gt;"是","",IF(OR(AQ60="",AR60=""),"",SUM(AQ60:AR60)))</x:f>
      </x:c>
      <x:c r="AT60" s="174" t="str">
        <x:f>IF(M60&lt;&gt;"是","",IF(OR(AL60="",AN60=""),"",IF(OR(AL60="0分档",AN60="0分档"),"主席履职待改进",IF(AND(AL60="突出档",AN60="突出档"),"主席履职突出","主席履职合格"))))</x:f>
      </x:c>
      <x:c r="AU60" s="174" t="str">
        <x:f>IF(OR(T60="",U60="",W60="",Y60="",Z60=""),"",IF(T60="不适用",0,10)+IF(U60="不适用",0,30)+25+25+IF(Z60="不适用",0,10))</x:f>
      </x:c>
      <x:c r="AV60" s="174" t="str">
        <x:f>IF(AU60="","",SUM(AF60:AJ60))</x:f>
      </x:c>
      <x:c r="AW60" s="186" t="str">
        <x:f>IF(AU60="","",ROUND(AV60/AU60*100,1))</x:f>
      </x:c>
      <x:c r="AX60" s="174" t="str">
        <x:f>IF(OR(AH60="",AI60=""),"",AH60+AI60)</x:f>
      </x:c>
      <x:c r="AY60" s="174" t="str">
        <x:f>IF(AX60="","",IF(AX60&lt;30,"未达标","达到门槛"))</x:f>
      </x:c>
      <x:c r="AZ60" s="174" t="str">
        <x:f>IF(A60="","",IF(OR(O60="仅挂会无有效参与",O60="缺席"),"是","否"))</x:f>
      </x:c>
      <x:c r="BA60" s="186" t="str">
        <x:f>IF(A60="","",IF(AZ60="是",0,AW60))</x:f>
      </x:c>
      <x:c r="BB60" s="174"/>
      <x:c r="BC60" s="186"/>
      <x:c r="BD60" s="186" t="str">
        <x:f>IF(A60="","",BA60)</x:f>
      </x:c>
      <x:c r="BE60" s="161"/>
      <x:c r="BF60" s="161"/>
      <x:c r="BG60" s="161"/>
      <x:c r="BH60" s="180"/>
      <x:c r="BI60" s="183"/>
    </x:row>
    <x:row r="61" ht="32" customHeight="1">
      <x:c r="A61" s="160"/>
      <x:c r="B61" s="161"/>
      <x:c r="C61" s="161"/>
      <x:c r="D61" s="161"/>
      <x:c r="E61" s="161"/>
      <x:c r="F61" s="180"/>
      <x:c r="G61" s="161" t="str">
        <x:f>IF(F61="","","H"&amp;IF(MONTH(F61)&lt;=6,1,2))</x:f>
      </x:c>
      <x:c r="H61" s="161"/>
      <x:c r="I61" s="161"/>
      <x:c r="J61" s="161"/>
      <x:c r="K61" s="161"/>
      <x:c r="L61" s="161"/>
      <x:c r="M61" s="161"/>
      <x:c r="N61" s="161"/>
      <x:c r="O61" s="161"/>
      <x:c r="P61" s="161"/>
      <x:c r="Q61" s="161"/>
      <x:c r="R61" s="161"/>
      <x:c r="S61" s="161"/>
      <x:c r="T61" s="165"/>
      <x:c r="U61" s="165"/>
      <x:c r="V61" s="168"/>
      <x:c r="W61" s="165"/>
      <x:c r="X61" s="168"/>
      <x:c r="Y61" s="165"/>
      <x:c r="Z61" s="165"/>
      <x:c r="AA61" s="171"/>
      <x:c r="AB61" s="171"/>
      <x:c r="AC61" s="171"/>
      <x:c r="AD61" s="171"/>
      <x:c r="AE61" s="171"/>
      <x:c r="AF61" s="174" t="str">
        <x:f>IF(T61="","",IF(T61="不适用",0,IF(T61="满分档",10,IF(T61="中间档",5,0))))</x:f>
      </x:c>
      <x:c r="AG61" s="174" t="str">
        <x:f>IF(U61="","",IF(U61="不适用",0,IF(U61="满分档",30,IF(U61="中间档",15,0))))</x:f>
      </x:c>
      <x:c r="AH61" s="174" t="str">
        <x:f>IF(W61="","",IF(W61="满分档",25,IF(W61="中间档",15,0)))</x:f>
      </x:c>
      <x:c r="AI61" s="174" t="str">
        <x:f>IF(Y61="","",IF(Y61="满分档",25,IF(Y61="中间档",15,0)))</x:f>
      </x:c>
      <x:c r="AJ61" s="174" t="str">
        <x:f>IF(Z61="","",IF(Z61="不适用",0,IF(Z61="满分档",10,IF(Z61="中间档",5,0))))</x:f>
      </x:c>
      <x:c r="AK61" s="168"/>
      <x:c r="AL61" s="165"/>
      <x:c r="AM61" s="168"/>
      <x:c r="AN61" s="165"/>
      <x:c r="AO61" s="171"/>
      <x:c r="AP61" s="171"/>
      <x:c r="AQ61" s="174" t="str">
        <x:f>IF(M61&lt;&gt;"是","",IF(AL61="","",IF(AL61="突出档",10,IF(AL61="达标档",6,0))))</x:f>
      </x:c>
      <x:c r="AR61" s="174" t="str">
        <x:f>IF(M61&lt;&gt;"是","",IF(AN61="","",IF(AN61="突出档",10,IF(AN61="达标档",6,0))))</x:f>
      </x:c>
      <x:c r="AS61" s="174" t="str">
        <x:f>IF(M61&lt;&gt;"是","",IF(OR(AQ61="",AR61=""),"",SUM(AQ61:AR61)))</x:f>
      </x:c>
      <x:c r="AT61" s="174" t="str">
        <x:f>IF(M61&lt;&gt;"是","",IF(OR(AL61="",AN61=""),"",IF(OR(AL61="0分档",AN61="0分档"),"主席履职待改进",IF(AND(AL61="突出档",AN61="突出档"),"主席履职突出","主席履职合格"))))</x:f>
      </x:c>
      <x:c r="AU61" s="174" t="str">
        <x:f>IF(OR(T61="",U61="",W61="",Y61="",Z61=""),"",IF(T61="不适用",0,10)+IF(U61="不适用",0,30)+25+25+IF(Z61="不适用",0,10))</x:f>
      </x:c>
      <x:c r="AV61" s="174" t="str">
        <x:f>IF(AU61="","",SUM(AF61:AJ61))</x:f>
      </x:c>
      <x:c r="AW61" s="186" t="str">
        <x:f>IF(AU61="","",ROUND(AV61/AU61*100,1))</x:f>
      </x:c>
      <x:c r="AX61" s="174" t="str">
        <x:f>IF(OR(AH61="",AI61=""),"",AH61+AI61)</x:f>
      </x:c>
      <x:c r="AY61" s="174" t="str">
        <x:f>IF(AX61="","",IF(AX61&lt;30,"未达标","达到门槛"))</x:f>
      </x:c>
      <x:c r="AZ61" s="174" t="str">
        <x:f>IF(A61="","",IF(OR(O61="仅挂会无有效参与",O61="缺席"),"是","否"))</x:f>
      </x:c>
      <x:c r="BA61" s="186" t="str">
        <x:f>IF(A61="","",IF(AZ61="是",0,AW61))</x:f>
      </x:c>
      <x:c r="BB61" s="174"/>
      <x:c r="BC61" s="186"/>
      <x:c r="BD61" s="186" t="str">
        <x:f>IF(A61="","",BA61)</x:f>
      </x:c>
      <x:c r="BE61" s="161"/>
      <x:c r="BF61" s="161"/>
      <x:c r="BG61" s="161"/>
      <x:c r="BH61" s="180"/>
      <x:c r="BI61" s="183"/>
    </x:row>
    <x:row r="62" ht="32" customHeight="1">
      <x:c r="A62" s="160"/>
      <x:c r="B62" s="161"/>
      <x:c r="C62" s="161"/>
      <x:c r="D62" s="161"/>
      <x:c r="E62" s="161"/>
      <x:c r="F62" s="180"/>
      <x:c r="G62" s="161" t="str">
        <x:f>IF(F62="","","H"&amp;IF(MONTH(F62)&lt;=6,1,2))</x:f>
      </x:c>
      <x:c r="H62" s="161"/>
      <x:c r="I62" s="161"/>
      <x:c r="J62" s="161"/>
      <x:c r="K62" s="161"/>
      <x:c r="L62" s="161"/>
      <x:c r="M62" s="161"/>
      <x:c r="N62" s="161"/>
      <x:c r="O62" s="161"/>
      <x:c r="P62" s="161"/>
      <x:c r="Q62" s="161"/>
      <x:c r="R62" s="161"/>
      <x:c r="S62" s="161"/>
      <x:c r="T62" s="165"/>
      <x:c r="U62" s="165"/>
      <x:c r="V62" s="168"/>
      <x:c r="W62" s="165"/>
      <x:c r="X62" s="168"/>
      <x:c r="Y62" s="165"/>
      <x:c r="Z62" s="165"/>
      <x:c r="AA62" s="171"/>
      <x:c r="AB62" s="171"/>
      <x:c r="AC62" s="171"/>
      <x:c r="AD62" s="171"/>
      <x:c r="AE62" s="171"/>
      <x:c r="AF62" s="174" t="str">
        <x:f>IF(T62="","",IF(T62="不适用",0,IF(T62="满分档",10,IF(T62="中间档",5,0))))</x:f>
      </x:c>
      <x:c r="AG62" s="174" t="str">
        <x:f>IF(U62="","",IF(U62="不适用",0,IF(U62="满分档",30,IF(U62="中间档",15,0))))</x:f>
      </x:c>
      <x:c r="AH62" s="174" t="str">
        <x:f>IF(W62="","",IF(W62="满分档",25,IF(W62="中间档",15,0)))</x:f>
      </x:c>
      <x:c r="AI62" s="174" t="str">
        <x:f>IF(Y62="","",IF(Y62="满分档",25,IF(Y62="中间档",15,0)))</x:f>
      </x:c>
      <x:c r="AJ62" s="174" t="str">
        <x:f>IF(Z62="","",IF(Z62="不适用",0,IF(Z62="满分档",10,IF(Z62="中间档",5,0))))</x:f>
      </x:c>
      <x:c r="AK62" s="168"/>
      <x:c r="AL62" s="165"/>
      <x:c r="AM62" s="168"/>
      <x:c r="AN62" s="165"/>
      <x:c r="AO62" s="171"/>
      <x:c r="AP62" s="171"/>
      <x:c r="AQ62" s="174" t="str">
        <x:f>IF(M62&lt;&gt;"是","",IF(AL62="","",IF(AL62="突出档",10,IF(AL62="达标档",6,0))))</x:f>
      </x:c>
      <x:c r="AR62" s="174" t="str">
        <x:f>IF(M62&lt;&gt;"是","",IF(AN62="","",IF(AN62="突出档",10,IF(AN62="达标档",6,0))))</x:f>
      </x:c>
      <x:c r="AS62" s="174" t="str">
        <x:f>IF(M62&lt;&gt;"是","",IF(OR(AQ62="",AR62=""),"",SUM(AQ62:AR62)))</x:f>
      </x:c>
      <x:c r="AT62" s="174" t="str">
        <x:f>IF(M62&lt;&gt;"是","",IF(OR(AL62="",AN62=""),"",IF(OR(AL62="0分档",AN62="0分档"),"主席履职待改进",IF(AND(AL62="突出档",AN62="突出档"),"主席履职突出","主席履职合格"))))</x:f>
      </x:c>
      <x:c r="AU62" s="174" t="str">
        <x:f>IF(OR(T62="",U62="",W62="",Y62="",Z62=""),"",IF(T62="不适用",0,10)+IF(U62="不适用",0,30)+25+25+IF(Z62="不适用",0,10))</x:f>
      </x:c>
      <x:c r="AV62" s="174" t="str">
        <x:f>IF(AU62="","",SUM(AF62:AJ62))</x:f>
      </x:c>
      <x:c r="AW62" s="186" t="str">
        <x:f>IF(AU62="","",ROUND(AV62/AU62*100,1))</x:f>
      </x:c>
      <x:c r="AX62" s="174" t="str">
        <x:f>IF(OR(AH62="",AI62=""),"",AH62+AI62)</x:f>
      </x:c>
      <x:c r="AY62" s="174" t="str">
        <x:f>IF(AX62="","",IF(AX62&lt;30,"未达标","达到门槛"))</x:f>
      </x:c>
      <x:c r="AZ62" s="174" t="str">
        <x:f>IF(A62="","",IF(OR(O62="仅挂会无有效参与",O62="缺席"),"是","否"))</x:f>
      </x:c>
      <x:c r="BA62" s="186" t="str">
        <x:f>IF(A62="","",IF(AZ62="是",0,AW62))</x:f>
      </x:c>
      <x:c r="BB62" s="174"/>
      <x:c r="BC62" s="186"/>
      <x:c r="BD62" s="186" t="str">
        <x:f>IF(A62="","",BA62)</x:f>
      </x:c>
      <x:c r="BE62" s="161"/>
      <x:c r="BF62" s="161"/>
      <x:c r="BG62" s="161"/>
      <x:c r="BH62" s="180"/>
      <x:c r="BI62" s="183"/>
    </x:row>
    <x:row r="63" ht="32" customHeight="1">
      <x:c r="A63" s="160"/>
      <x:c r="B63" s="161"/>
      <x:c r="C63" s="161"/>
      <x:c r="D63" s="161"/>
      <x:c r="E63" s="161"/>
      <x:c r="F63" s="180"/>
      <x:c r="G63" s="161" t="str">
        <x:f>IF(F63="","","H"&amp;IF(MONTH(F63)&lt;=6,1,2))</x:f>
      </x:c>
      <x:c r="H63" s="161"/>
      <x:c r="I63" s="161"/>
      <x:c r="J63" s="161"/>
      <x:c r="K63" s="161"/>
      <x:c r="L63" s="161"/>
      <x:c r="M63" s="161"/>
      <x:c r="N63" s="161"/>
      <x:c r="O63" s="161"/>
      <x:c r="P63" s="161"/>
      <x:c r="Q63" s="161"/>
      <x:c r="R63" s="161"/>
      <x:c r="S63" s="161"/>
      <x:c r="T63" s="165"/>
      <x:c r="U63" s="165"/>
      <x:c r="V63" s="168"/>
      <x:c r="W63" s="165"/>
      <x:c r="X63" s="168"/>
      <x:c r="Y63" s="165"/>
      <x:c r="Z63" s="165"/>
      <x:c r="AA63" s="171"/>
      <x:c r="AB63" s="171"/>
      <x:c r="AC63" s="171"/>
      <x:c r="AD63" s="171"/>
      <x:c r="AE63" s="171"/>
      <x:c r="AF63" s="174" t="str">
        <x:f>IF(T63="","",IF(T63="不适用",0,IF(T63="满分档",10,IF(T63="中间档",5,0))))</x:f>
      </x:c>
      <x:c r="AG63" s="174" t="str">
        <x:f>IF(U63="","",IF(U63="不适用",0,IF(U63="满分档",30,IF(U63="中间档",15,0))))</x:f>
      </x:c>
      <x:c r="AH63" s="174" t="str">
        <x:f>IF(W63="","",IF(W63="满分档",25,IF(W63="中间档",15,0)))</x:f>
      </x:c>
      <x:c r="AI63" s="174" t="str">
        <x:f>IF(Y63="","",IF(Y63="满分档",25,IF(Y63="中间档",15,0)))</x:f>
      </x:c>
      <x:c r="AJ63" s="174" t="str">
        <x:f>IF(Z63="","",IF(Z63="不适用",0,IF(Z63="满分档",10,IF(Z63="中间档",5,0))))</x:f>
      </x:c>
      <x:c r="AK63" s="168"/>
      <x:c r="AL63" s="165"/>
      <x:c r="AM63" s="168"/>
      <x:c r="AN63" s="165"/>
      <x:c r="AO63" s="171"/>
      <x:c r="AP63" s="171"/>
      <x:c r="AQ63" s="174" t="str">
        <x:f>IF(M63&lt;&gt;"是","",IF(AL63="","",IF(AL63="突出档",10,IF(AL63="达标档",6,0))))</x:f>
      </x:c>
      <x:c r="AR63" s="174" t="str">
        <x:f>IF(M63&lt;&gt;"是","",IF(AN63="","",IF(AN63="突出档",10,IF(AN63="达标档",6,0))))</x:f>
      </x:c>
      <x:c r="AS63" s="174" t="str">
        <x:f>IF(M63&lt;&gt;"是","",IF(OR(AQ63="",AR63=""),"",SUM(AQ63:AR63)))</x:f>
      </x:c>
      <x:c r="AT63" s="174" t="str">
        <x:f>IF(M63&lt;&gt;"是","",IF(OR(AL63="",AN63=""),"",IF(OR(AL63="0分档",AN63="0分档"),"主席履职待改进",IF(AND(AL63="突出档",AN63="突出档"),"主席履职突出","主席履职合格"))))</x:f>
      </x:c>
      <x:c r="AU63" s="174" t="str">
        <x:f>IF(OR(T63="",U63="",W63="",Y63="",Z63=""),"",IF(T63="不适用",0,10)+IF(U63="不适用",0,30)+25+25+IF(Z63="不适用",0,10))</x:f>
      </x:c>
      <x:c r="AV63" s="174" t="str">
        <x:f>IF(AU63="","",SUM(AF63:AJ63))</x:f>
      </x:c>
      <x:c r="AW63" s="186" t="str">
        <x:f>IF(AU63="","",ROUND(AV63/AU63*100,1))</x:f>
      </x:c>
      <x:c r="AX63" s="174" t="str">
        <x:f>IF(OR(AH63="",AI63=""),"",AH63+AI63)</x:f>
      </x:c>
      <x:c r="AY63" s="174" t="str">
        <x:f>IF(AX63="","",IF(AX63&lt;30,"未达标","达到门槛"))</x:f>
      </x:c>
      <x:c r="AZ63" s="174" t="str">
        <x:f>IF(A63="","",IF(OR(O63="仅挂会无有效参与",O63="缺席"),"是","否"))</x:f>
      </x:c>
      <x:c r="BA63" s="186" t="str">
        <x:f>IF(A63="","",IF(AZ63="是",0,AW63))</x:f>
      </x:c>
      <x:c r="BB63" s="174"/>
      <x:c r="BC63" s="186"/>
      <x:c r="BD63" s="186" t="str">
        <x:f>IF(A63="","",BA63)</x:f>
      </x:c>
      <x:c r="BE63" s="161"/>
      <x:c r="BF63" s="161"/>
      <x:c r="BG63" s="161"/>
      <x:c r="BH63" s="180"/>
      <x:c r="BI63" s="183"/>
    </x:row>
    <x:row r="64" ht="32" customHeight="1">
      <x:c r="A64" s="160"/>
      <x:c r="B64" s="161"/>
      <x:c r="C64" s="161"/>
      <x:c r="D64" s="161"/>
      <x:c r="E64" s="161"/>
      <x:c r="F64" s="180"/>
      <x:c r="G64" s="161" t="str">
        <x:f>IF(F64="","","H"&amp;IF(MONTH(F64)&lt;=6,1,2))</x:f>
      </x:c>
      <x:c r="H64" s="161"/>
      <x:c r="I64" s="161"/>
      <x:c r="J64" s="161"/>
      <x:c r="K64" s="161"/>
      <x:c r="L64" s="161"/>
      <x:c r="M64" s="161"/>
      <x:c r="N64" s="161"/>
      <x:c r="O64" s="161"/>
      <x:c r="P64" s="161"/>
      <x:c r="Q64" s="161"/>
      <x:c r="R64" s="161"/>
      <x:c r="S64" s="161"/>
      <x:c r="T64" s="165"/>
      <x:c r="U64" s="165"/>
      <x:c r="V64" s="168"/>
      <x:c r="W64" s="165"/>
      <x:c r="X64" s="168"/>
      <x:c r="Y64" s="165"/>
      <x:c r="Z64" s="165"/>
      <x:c r="AA64" s="171"/>
      <x:c r="AB64" s="171"/>
      <x:c r="AC64" s="171"/>
      <x:c r="AD64" s="171"/>
      <x:c r="AE64" s="171"/>
      <x:c r="AF64" s="174" t="str">
        <x:f>IF(T64="","",IF(T64="不适用",0,IF(T64="满分档",10,IF(T64="中间档",5,0))))</x:f>
      </x:c>
      <x:c r="AG64" s="174" t="str">
        <x:f>IF(U64="","",IF(U64="不适用",0,IF(U64="满分档",30,IF(U64="中间档",15,0))))</x:f>
      </x:c>
      <x:c r="AH64" s="174" t="str">
        <x:f>IF(W64="","",IF(W64="满分档",25,IF(W64="中间档",15,0)))</x:f>
      </x:c>
      <x:c r="AI64" s="174" t="str">
        <x:f>IF(Y64="","",IF(Y64="满分档",25,IF(Y64="中间档",15,0)))</x:f>
      </x:c>
      <x:c r="AJ64" s="174" t="str">
        <x:f>IF(Z64="","",IF(Z64="不适用",0,IF(Z64="满分档",10,IF(Z64="中间档",5,0))))</x:f>
      </x:c>
      <x:c r="AK64" s="168"/>
      <x:c r="AL64" s="165"/>
      <x:c r="AM64" s="168"/>
      <x:c r="AN64" s="165"/>
      <x:c r="AO64" s="171"/>
      <x:c r="AP64" s="171"/>
      <x:c r="AQ64" s="174" t="str">
        <x:f>IF(M64&lt;&gt;"是","",IF(AL64="","",IF(AL64="突出档",10,IF(AL64="达标档",6,0))))</x:f>
      </x:c>
      <x:c r="AR64" s="174" t="str">
        <x:f>IF(M64&lt;&gt;"是","",IF(AN64="","",IF(AN64="突出档",10,IF(AN64="达标档",6,0))))</x:f>
      </x:c>
      <x:c r="AS64" s="174" t="str">
        <x:f>IF(M64&lt;&gt;"是","",IF(OR(AQ64="",AR64=""),"",SUM(AQ64:AR64)))</x:f>
      </x:c>
      <x:c r="AT64" s="174" t="str">
        <x:f>IF(M64&lt;&gt;"是","",IF(OR(AL64="",AN64=""),"",IF(OR(AL64="0分档",AN64="0分档"),"主席履职待改进",IF(AND(AL64="突出档",AN64="突出档"),"主席履职突出","主席履职合格"))))</x:f>
      </x:c>
      <x:c r="AU64" s="174" t="str">
        <x:f>IF(OR(T64="",U64="",W64="",Y64="",Z64=""),"",IF(T64="不适用",0,10)+IF(U64="不适用",0,30)+25+25+IF(Z64="不适用",0,10))</x:f>
      </x:c>
      <x:c r="AV64" s="174" t="str">
        <x:f>IF(AU64="","",SUM(AF64:AJ64))</x:f>
      </x:c>
      <x:c r="AW64" s="186" t="str">
        <x:f>IF(AU64="","",ROUND(AV64/AU64*100,1))</x:f>
      </x:c>
      <x:c r="AX64" s="174" t="str">
        <x:f>IF(OR(AH64="",AI64=""),"",AH64+AI64)</x:f>
      </x:c>
      <x:c r="AY64" s="174" t="str">
        <x:f>IF(AX64="","",IF(AX64&lt;30,"未达标","达到门槛"))</x:f>
      </x:c>
      <x:c r="AZ64" s="174" t="str">
        <x:f>IF(A64="","",IF(OR(O64="仅挂会无有效参与",O64="缺席"),"是","否"))</x:f>
      </x:c>
      <x:c r="BA64" s="186" t="str">
        <x:f>IF(A64="","",IF(AZ64="是",0,AW64))</x:f>
      </x:c>
      <x:c r="BB64" s="174"/>
      <x:c r="BC64" s="186"/>
      <x:c r="BD64" s="186" t="str">
        <x:f>IF(A64="","",BA64)</x:f>
      </x:c>
      <x:c r="BE64" s="161"/>
      <x:c r="BF64" s="161"/>
      <x:c r="BG64" s="161"/>
      <x:c r="BH64" s="180"/>
      <x:c r="BI64" s="183"/>
    </x:row>
    <x:row r="65" ht="32" customHeight="1">
      <x:c r="A65" s="160"/>
      <x:c r="B65" s="161"/>
      <x:c r="C65" s="161"/>
      <x:c r="D65" s="161"/>
      <x:c r="E65" s="161"/>
      <x:c r="F65" s="180"/>
      <x:c r="G65" s="161" t="str">
        <x:f>IF(F65="","","H"&amp;IF(MONTH(F65)&lt;=6,1,2))</x:f>
      </x:c>
      <x:c r="H65" s="161"/>
      <x:c r="I65" s="161"/>
      <x:c r="J65" s="161"/>
      <x:c r="K65" s="161"/>
      <x:c r="L65" s="161"/>
      <x:c r="M65" s="161"/>
      <x:c r="N65" s="161"/>
      <x:c r="O65" s="161"/>
      <x:c r="P65" s="161"/>
      <x:c r="Q65" s="161"/>
      <x:c r="R65" s="161"/>
      <x:c r="S65" s="161"/>
      <x:c r="T65" s="165"/>
      <x:c r="U65" s="165"/>
      <x:c r="V65" s="168"/>
      <x:c r="W65" s="165"/>
      <x:c r="X65" s="168"/>
      <x:c r="Y65" s="165"/>
      <x:c r="Z65" s="165"/>
      <x:c r="AA65" s="171"/>
      <x:c r="AB65" s="171"/>
      <x:c r="AC65" s="171"/>
      <x:c r="AD65" s="171"/>
      <x:c r="AE65" s="171"/>
      <x:c r="AF65" s="174" t="str">
        <x:f>IF(T65="","",IF(T65="不适用",0,IF(T65="满分档",10,IF(T65="中间档",5,0))))</x:f>
      </x:c>
      <x:c r="AG65" s="174" t="str">
        <x:f>IF(U65="","",IF(U65="不适用",0,IF(U65="满分档",30,IF(U65="中间档",15,0))))</x:f>
      </x:c>
      <x:c r="AH65" s="174" t="str">
        <x:f>IF(W65="","",IF(W65="满分档",25,IF(W65="中间档",15,0)))</x:f>
      </x:c>
      <x:c r="AI65" s="174" t="str">
        <x:f>IF(Y65="","",IF(Y65="满分档",25,IF(Y65="中间档",15,0)))</x:f>
      </x:c>
      <x:c r="AJ65" s="174" t="str">
        <x:f>IF(Z65="","",IF(Z65="不适用",0,IF(Z65="满分档",10,IF(Z65="中间档",5,0))))</x:f>
      </x:c>
      <x:c r="AK65" s="168"/>
      <x:c r="AL65" s="165"/>
      <x:c r="AM65" s="168"/>
      <x:c r="AN65" s="165"/>
      <x:c r="AO65" s="171"/>
      <x:c r="AP65" s="171"/>
      <x:c r="AQ65" s="174" t="str">
        <x:f>IF(M65&lt;&gt;"是","",IF(AL65="","",IF(AL65="突出档",10,IF(AL65="达标档",6,0))))</x:f>
      </x:c>
      <x:c r="AR65" s="174" t="str">
        <x:f>IF(M65&lt;&gt;"是","",IF(AN65="","",IF(AN65="突出档",10,IF(AN65="达标档",6,0))))</x:f>
      </x:c>
      <x:c r="AS65" s="174" t="str">
        <x:f>IF(M65&lt;&gt;"是","",IF(OR(AQ65="",AR65=""),"",SUM(AQ65:AR65)))</x:f>
      </x:c>
      <x:c r="AT65" s="174" t="str">
        <x:f>IF(M65&lt;&gt;"是","",IF(OR(AL65="",AN65=""),"",IF(OR(AL65="0分档",AN65="0分档"),"主席履职待改进",IF(AND(AL65="突出档",AN65="突出档"),"主席履职突出","主席履职合格"))))</x:f>
      </x:c>
      <x:c r="AU65" s="174" t="str">
        <x:f>IF(OR(T65="",U65="",W65="",Y65="",Z65=""),"",IF(T65="不适用",0,10)+IF(U65="不适用",0,30)+25+25+IF(Z65="不适用",0,10))</x:f>
      </x:c>
      <x:c r="AV65" s="174" t="str">
        <x:f>IF(AU65="","",SUM(AF65:AJ65))</x:f>
      </x:c>
      <x:c r="AW65" s="186" t="str">
        <x:f>IF(AU65="","",ROUND(AV65/AU65*100,1))</x:f>
      </x:c>
      <x:c r="AX65" s="174" t="str">
        <x:f>IF(OR(AH65="",AI65=""),"",AH65+AI65)</x:f>
      </x:c>
      <x:c r="AY65" s="174" t="str">
        <x:f>IF(AX65="","",IF(AX65&lt;30,"未达标","达到门槛"))</x:f>
      </x:c>
      <x:c r="AZ65" s="174" t="str">
        <x:f>IF(A65="","",IF(OR(O65="仅挂会无有效参与",O65="缺席"),"是","否"))</x:f>
      </x:c>
      <x:c r="BA65" s="186" t="str">
        <x:f>IF(A65="","",IF(AZ65="是",0,AW65))</x:f>
      </x:c>
      <x:c r="BB65" s="174"/>
      <x:c r="BC65" s="186"/>
      <x:c r="BD65" s="186" t="str">
        <x:f>IF(A65="","",BA65)</x:f>
      </x:c>
      <x:c r="BE65" s="161"/>
      <x:c r="BF65" s="161"/>
      <x:c r="BG65" s="161"/>
      <x:c r="BH65" s="180"/>
      <x:c r="BI65" s="183"/>
    </x:row>
    <x:row r="66" ht="32" customHeight="1">
      <x:c r="A66" s="160"/>
      <x:c r="B66" s="161"/>
      <x:c r="C66" s="161"/>
      <x:c r="D66" s="161"/>
      <x:c r="E66" s="161"/>
      <x:c r="F66" s="180"/>
      <x:c r="G66" s="161" t="str">
        <x:f>IF(F66="","","H"&amp;IF(MONTH(F66)&lt;=6,1,2))</x:f>
      </x:c>
      <x:c r="H66" s="161"/>
      <x:c r="I66" s="161"/>
      <x:c r="J66" s="161"/>
      <x:c r="K66" s="161"/>
      <x:c r="L66" s="161"/>
      <x:c r="M66" s="161"/>
      <x:c r="N66" s="161"/>
      <x:c r="O66" s="161"/>
      <x:c r="P66" s="161"/>
      <x:c r="Q66" s="161"/>
      <x:c r="R66" s="161"/>
      <x:c r="S66" s="161"/>
      <x:c r="T66" s="165"/>
      <x:c r="U66" s="165"/>
      <x:c r="V66" s="168"/>
      <x:c r="W66" s="165"/>
      <x:c r="X66" s="168"/>
      <x:c r="Y66" s="165"/>
      <x:c r="Z66" s="165"/>
      <x:c r="AA66" s="171"/>
      <x:c r="AB66" s="171"/>
      <x:c r="AC66" s="171"/>
      <x:c r="AD66" s="171"/>
      <x:c r="AE66" s="171"/>
      <x:c r="AF66" s="174" t="str">
        <x:f>IF(T66="","",IF(T66="不适用",0,IF(T66="满分档",10,IF(T66="中间档",5,0))))</x:f>
      </x:c>
      <x:c r="AG66" s="174" t="str">
        <x:f>IF(U66="","",IF(U66="不适用",0,IF(U66="满分档",30,IF(U66="中间档",15,0))))</x:f>
      </x:c>
      <x:c r="AH66" s="174" t="str">
        <x:f>IF(W66="","",IF(W66="满分档",25,IF(W66="中间档",15,0)))</x:f>
      </x:c>
      <x:c r="AI66" s="174" t="str">
        <x:f>IF(Y66="","",IF(Y66="满分档",25,IF(Y66="中间档",15,0)))</x:f>
      </x:c>
      <x:c r="AJ66" s="174" t="str">
        <x:f>IF(Z66="","",IF(Z66="不适用",0,IF(Z66="满分档",10,IF(Z66="中间档",5,0))))</x:f>
      </x:c>
      <x:c r="AK66" s="168"/>
      <x:c r="AL66" s="165"/>
      <x:c r="AM66" s="168"/>
      <x:c r="AN66" s="165"/>
      <x:c r="AO66" s="171"/>
      <x:c r="AP66" s="171"/>
      <x:c r="AQ66" s="174" t="str">
        <x:f>IF(M66&lt;&gt;"是","",IF(AL66="","",IF(AL66="突出档",10,IF(AL66="达标档",6,0))))</x:f>
      </x:c>
      <x:c r="AR66" s="174" t="str">
        <x:f>IF(M66&lt;&gt;"是","",IF(AN66="","",IF(AN66="突出档",10,IF(AN66="达标档",6,0))))</x:f>
      </x:c>
      <x:c r="AS66" s="174" t="str">
        <x:f>IF(M66&lt;&gt;"是","",IF(OR(AQ66="",AR66=""),"",SUM(AQ66:AR66)))</x:f>
      </x:c>
      <x:c r="AT66" s="174" t="str">
        <x:f>IF(M66&lt;&gt;"是","",IF(OR(AL66="",AN66=""),"",IF(OR(AL66="0分档",AN66="0分档"),"主席履职待改进",IF(AND(AL66="突出档",AN66="突出档"),"主席履职突出","主席履职合格"))))</x:f>
      </x:c>
      <x:c r="AU66" s="174" t="str">
        <x:f>IF(OR(T66="",U66="",W66="",Y66="",Z66=""),"",IF(T66="不适用",0,10)+IF(U66="不适用",0,30)+25+25+IF(Z66="不适用",0,10))</x:f>
      </x:c>
      <x:c r="AV66" s="174" t="str">
        <x:f>IF(AU66="","",SUM(AF66:AJ66))</x:f>
      </x:c>
      <x:c r="AW66" s="186" t="str">
        <x:f>IF(AU66="","",ROUND(AV66/AU66*100,1))</x:f>
      </x:c>
      <x:c r="AX66" s="174" t="str">
        <x:f>IF(OR(AH66="",AI66=""),"",AH66+AI66)</x:f>
      </x:c>
      <x:c r="AY66" s="174" t="str">
        <x:f>IF(AX66="","",IF(AX66&lt;30,"未达标","达到门槛"))</x:f>
      </x:c>
      <x:c r="AZ66" s="174" t="str">
        <x:f>IF(A66="","",IF(OR(O66="仅挂会无有效参与",O66="缺席"),"是","否"))</x:f>
      </x:c>
      <x:c r="BA66" s="186" t="str">
        <x:f>IF(A66="","",IF(AZ66="是",0,AW66))</x:f>
      </x:c>
      <x:c r="BB66" s="174"/>
      <x:c r="BC66" s="186"/>
      <x:c r="BD66" s="186" t="str">
        <x:f>IF(A66="","",BA66)</x:f>
      </x:c>
      <x:c r="BE66" s="161"/>
      <x:c r="BF66" s="161"/>
      <x:c r="BG66" s="161"/>
      <x:c r="BH66" s="180"/>
      <x:c r="BI66" s="183"/>
    </x:row>
    <x:row r="67" ht="32" customHeight="1">
      <x:c r="A67" s="160"/>
      <x:c r="B67" s="161"/>
      <x:c r="C67" s="161"/>
      <x:c r="D67" s="161"/>
      <x:c r="E67" s="161"/>
      <x:c r="F67" s="180"/>
      <x:c r="G67" s="161" t="str">
        <x:f>IF(F67="","","H"&amp;IF(MONTH(F67)&lt;=6,1,2))</x:f>
      </x:c>
      <x:c r="H67" s="161"/>
      <x:c r="I67" s="161"/>
      <x:c r="J67" s="161"/>
      <x:c r="K67" s="161"/>
      <x:c r="L67" s="161"/>
      <x:c r="M67" s="161"/>
      <x:c r="N67" s="161"/>
      <x:c r="O67" s="161"/>
      <x:c r="P67" s="161"/>
      <x:c r="Q67" s="161"/>
      <x:c r="R67" s="161"/>
      <x:c r="S67" s="161"/>
      <x:c r="T67" s="165"/>
      <x:c r="U67" s="165"/>
      <x:c r="V67" s="168"/>
      <x:c r="W67" s="165"/>
      <x:c r="X67" s="168"/>
      <x:c r="Y67" s="165"/>
      <x:c r="Z67" s="165"/>
      <x:c r="AA67" s="171"/>
      <x:c r="AB67" s="171"/>
      <x:c r="AC67" s="171"/>
      <x:c r="AD67" s="171"/>
      <x:c r="AE67" s="171"/>
      <x:c r="AF67" s="174" t="str">
        <x:f>IF(T67="","",IF(T67="不适用",0,IF(T67="满分档",10,IF(T67="中间档",5,0))))</x:f>
      </x:c>
      <x:c r="AG67" s="174" t="str">
        <x:f>IF(U67="","",IF(U67="不适用",0,IF(U67="满分档",30,IF(U67="中间档",15,0))))</x:f>
      </x:c>
      <x:c r="AH67" s="174" t="str">
        <x:f>IF(W67="","",IF(W67="满分档",25,IF(W67="中间档",15,0)))</x:f>
      </x:c>
      <x:c r="AI67" s="174" t="str">
        <x:f>IF(Y67="","",IF(Y67="满分档",25,IF(Y67="中间档",15,0)))</x:f>
      </x:c>
      <x:c r="AJ67" s="174" t="str">
        <x:f>IF(Z67="","",IF(Z67="不适用",0,IF(Z67="满分档",10,IF(Z67="中间档",5,0))))</x:f>
      </x:c>
      <x:c r="AK67" s="168"/>
      <x:c r="AL67" s="165"/>
      <x:c r="AM67" s="168"/>
      <x:c r="AN67" s="165"/>
      <x:c r="AO67" s="171"/>
      <x:c r="AP67" s="171"/>
      <x:c r="AQ67" s="174" t="str">
        <x:f>IF(M67&lt;&gt;"是","",IF(AL67="","",IF(AL67="突出档",10,IF(AL67="达标档",6,0))))</x:f>
      </x:c>
      <x:c r="AR67" s="174" t="str">
        <x:f>IF(M67&lt;&gt;"是","",IF(AN67="","",IF(AN67="突出档",10,IF(AN67="达标档",6,0))))</x:f>
      </x:c>
      <x:c r="AS67" s="174" t="str">
        <x:f>IF(M67&lt;&gt;"是","",IF(OR(AQ67="",AR67=""),"",SUM(AQ67:AR67)))</x:f>
      </x:c>
      <x:c r="AT67" s="174" t="str">
        <x:f>IF(M67&lt;&gt;"是","",IF(OR(AL67="",AN67=""),"",IF(OR(AL67="0分档",AN67="0分档"),"主席履职待改进",IF(AND(AL67="突出档",AN67="突出档"),"主席履职突出","主席履职合格"))))</x:f>
      </x:c>
      <x:c r="AU67" s="174" t="str">
        <x:f>IF(OR(T67="",U67="",W67="",Y67="",Z67=""),"",IF(T67="不适用",0,10)+IF(U67="不适用",0,30)+25+25+IF(Z67="不适用",0,10))</x:f>
      </x:c>
      <x:c r="AV67" s="174" t="str">
        <x:f>IF(AU67="","",SUM(AF67:AJ67))</x:f>
      </x:c>
      <x:c r="AW67" s="186" t="str">
        <x:f>IF(AU67="","",ROUND(AV67/AU67*100,1))</x:f>
      </x:c>
      <x:c r="AX67" s="174" t="str">
        <x:f>IF(OR(AH67="",AI67=""),"",AH67+AI67)</x:f>
      </x:c>
      <x:c r="AY67" s="174" t="str">
        <x:f>IF(AX67="","",IF(AX67&lt;30,"未达标","达到门槛"))</x:f>
      </x:c>
      <x:c r="AZ67" s="174" t="str">
        <x:f>IF(A67="","",IF(OR(O67="仅挂会无有效参与",O67="缺席"),"是","否"))</x:f>
      </x:c>
      <x:c r="BA67" s="186" t="str">
        <x:f>IF(A67="","",IF(AZ67="是",0,AW67))</x:f>
      </x:c>
      <x:c r="BB67" s="174"/>
      <x:c r="BC67" s="186"/>
      <x:c r="BD67" s="186" t="str">
        <x:f>IF(A67="","",BA67)</x:f>
      </x:c>
      <x:c r="BE67" s="161"/>
      <x:c r="BF67" s="161"/>
      <x:c r="BG67" s="161"/>
      <x:c r="BH67" s="180"/>
      <x:c r="BI67" s="183"/>
    </x:row>
    <x:row r="68" ht="32" customHeight="1">
      <x:c r="A68" s="160"/>
      <x:c r="B68" s="161"/>
      <x:c r="C68" s="161"/>
      <x:c r="D68" s="161"/>
      <x:c r="E68" s="161"/>
      <x:c r="F68" s="180"/>
      <x:c r="G68" s="161" t="str">
        <x:f>IF(F68="","","H"&amp;IF(MONTH(F68)&lt;=6,1,2))</x:f>
      </x:c>
      <x:c r="H68" s="161"/>
      <x:c r="I68" s="161"/>
      <x:c r="J68" s="161"/>
      <x:c r="K68" s="161"/>
      <x:c r="L68" s="161"/>
      <x:c r="M68" s="161"/>
      <x:c r="N68" s="161"/>
      <x:c r="O68" s="161"/>
      <x:c r="P68" s="161"/>
      <x:c r="Q68" s="161"/>
      <x:c r="R68" s="161"/>
      <x:c r="S68" s="161"/>
      <x:c r="T68" s="165"/>
      <x:c r="U68" s="165"/>
      <x:c r="V68" s="168"/>
      <x:c r="W68" s="165"/>
      <x:c r="X68" s="168"/>
      <x:c r="Y68" s="165"/>
      <x:c r="Z68" s="165"/>
      <x:c r="AA68" s="171"/>
      <x:c r="AB68" s="171"/>
      <x:c r="AC68" s="171"/>
      <x:c r="AD68" s="171"/>
      <x:c r="AE68" s="171"/>
      <x:c r="AF68" s="174" t="str">
        <x:f>IF(T68="","",IF(T68="不适用",0,IF(T68="满分档",10,IF(T68="中间档",5,0))))</x:f>
      </x:c>
      <x:c r="AG68" s="174" t="str">
        <x:f>IF(U68="","",IF(U68="不适用",0,IF(U68="满分档",30,IF(U68="中间档",15,0))))</x:f>
      </x:c>
      <x:c r="AH68" s="174" t="str">
        <x:f>IF(W68="","",IF(W68="满分档",25,IF(W68="中间档",15,0)))</x:f>
      </x:c>
      <x:c r="AI68" s="174" t="str">
        <x:f>IF(Y68="","",IF(Y68="满分档",25,IF(Y68="中间档",15,0)))</x:f>
      </x:c>
      <x:c r="AJ68" s="174" t="str">
        <x:f>IF(Z68="","",IF(Z68="不适用",0,IF(Z68="满分档",10,IF(Z68="中间档",5,0))))</x:f>
      </x:c>
      <x:c r="AK68" s="168"/>
      <x:c r="AL68" s="165"/>
      <x:c r="AM68" s="168"/>
      <x:c r="AN68" s="165"/>
      <x:c r="AO68" s="171"/>
      <x:c r="AP68" s="171"/>
      <x:c r="AQ68" s="174" t="str">
        <x:f>IF(M68&lt;&gt;"是","",IF(AL68="","",IF(AL68="突出档",10,IF(AL68="达标档",6,0))))</x:f>
      </x:c>
      <x:c r="AR68" s="174" t="str">
        <x:f>IF(M68&lt;&gt;"是","",IF(AN68="","",IF(AN68="突出档",10,IF(AN68="达标档",6,0))))</x:f>
      </x:c>
      <x:c r="AS68" s="174" t="str">
        <x:f>IF(M68&lt;&gt;"是","",IF(OR(AQ68="",AR68=""),"",SUM(AQ68:AR68)))</x:f>
      </x:c>
      <x:c r="AT68" s="174" t="str">
        <x:f>IF(M68&lt;&gt;"是","",IF(OR(AL68="",AN68=""),"",IF(OR(AL68="0分档",AN68="0分档"),"主席履职待改进",IF(AND(AL68="突出档",AN68="突出档"),"主席履职突出","主席履职合格"))))</x:f>
      </x:c>
      <x:c r="AU68" s="174" t="str">
        <x:f>IF(OR(T68="",U68="",W68="",Y68="",Z68=""),"",IF(T68="不适用",0,10)+IF(U68="不适用",0,30)+25+25+IF(Z68="不适用",0,10))</x:f>
      </x:c>
      <x:c r="AV68" s="174" t="str">
        <x:f>IF(AU68="","",SUM(AF68:AJ68))</x:f>
      </x:c>
      <x:c r="AW68" s="186" t="str">
        <x:f>IF(AU68="","",ROUND(AV68/AU68*100,1))</x:f>
      </x:c>
      <x:c r="AX68" s="174" t="str">
        <x:f>IF(OR(AH68="",AI68=""),"",AH68+AI68)</x:f>
      </x:c>
      <x:c r="AY68" s="174" t="str">
        <x:f>IF(AX68="","",IF(AX68&lt;30,"未达标","达到门槛"))</x:f>
      </x:c>
      <x:c r="AZ68" s="174" t="str">
        <x:f>IF(A68="","",IF(OR(O68="仅挂会无有效参与",O68="缺席"),"是","否"))</x:f>
      </x:c>
      <x:c r="BA68" s="186" t="str">
        <x:f>IF(A68="","",IF(AZ68="是",0,AW68))</x:f>
      </x:c>
      <x:c r="BB68" s="174"/>
      <x:c r="BC68" s="186"/>
      <x:c r="BD68" s="186" t="str">
        <x:f>IF(A68="","",BA68)</x:f>
      </x:c>
      <x:c r="BE68" s="161"/>
      <x:c r="BF68" s="161"/>
      <x:c r="BG68" s="161"/>
      <x:c r="BH68" s="180"/>
      <x:c r="BI68" s="183"/>
    </x:row>
    <x:row r="69" ht="32" customHeight="1">
      <x:c r="A69" s="160"/>
      <x:c r="B69" s="161"/>
      <x:c r="C69" s="161"/>
      <x:c r="D69" s="161"/>
      <x:c r="E69" s="161"/>
      <x:c r="F69" s="180"/>
      <x:c r="G69" s="161" t="str">
        <x:f>IF(F69="","","H"&amp;IF(MONTH(F69)&lt;=6,1,2))</x:f>
      </x:c>
      <x:c r="H69" s="161"/>
      <x:c r="I69" s="161"/>
      <x:c r="J69" s="161"/>
      <x:c r="K69" s="161"/>
      <x:c r="L69" s="161"/>
      <x:c r="M69" s="161"/>
      <x:c r="N69" s="161"/>
      <x:c r="O69" s="161"/>
      <x:c r="P69" s="161"/>
      <x:c r="Q69" s="161"/>
      <x:c r="R69" s="161"/>
      <x:c r="S69" s="161"/>
      <x:c r="T69" s="165"/>
      <x:c r="U69" s="165"/>
      <x:c r="V69" s="168"/>
      <x:c r="W69" s="165"/>
      <x:c r="X69" s="168"/>
      <x:c r="Y69" s="165"/>
      <x:c r="Z69" s="165"/>
      <x:c r="AA69" s="171"/>
      <x:c r="AB69" s="171"/>
      <x:c r="AC69" s="171"/>
      <x:c r="AD69" s="171"/>
      <x:c r="AE69" s="171"/>
      <x:c r="AF69" s="174" t="str">
        <x:f>IF(T69="","",IF(T69="不适用",0,IF(T69="满分档",10,IF(T69="中间档",5,0))))</x:f>
      </x:c>
      <x:c r="AG69" s="174" t="str">
        <x:f>IF(U69="","",IF(U69="不适用",0,IF(U69="满分档",30,IF(U69="中间档",15,0))))</x:f>
      </x:c>
      <x:c r="AH69" s="174" t="str">
        <x:f>IF(W69="","",IF(W69="满分档",25,IF(W69="中间档",15,0)))</x:f>
      </x:c>
      <x:c r="AI69" s="174" t="str">
        <x:f>IF(Y69="","",IF(Y69="满分档",25,IF(Y69="中间档",15,0)))</x:f>
      </x:c>
      <x:c r="AJ69" s="174" t="str">
        <x:f>IF(Z69="","",IF(Z69="不适用",0,IF(Z69="满分档",10,IF(Z69="中间档",5,0))))</x:f>
      </x:c>
      <x:c r="AK69" s="168"/>
      <x:c r="AL69" s="165"/>
      <x:c r="AM69" s="168"/>
      <x:c r="AN69" s="165"/>
      <x:c r="AO69" s="171"/>
      <x:c r="AP69" s="171"/>
      <x:c r="AQ69" s="174" t="str">
        <x:f>IF(M69&lt;&gt;"是","",IF(AL69="","",IF(AL69="突出档",10,IF(AL69="达标档",6,0))))</x:f>
      </x:c>
      <x:c r="AR69" s="174" t="str">
        <x:f>IF(M69&lt;&gt;"是","",IF(AN69="","",IF(AN69="突出档",10,IF(AN69="达标档",6,0))))</x:f>
      </x:c>
      <x:c r="AS69" s="174" t="str">
        <x:f>IF(M69&lt;&gt;"是","",IF(OR(AQ69="",AR69=""),"",SUM(AQ69:AR69)))</x:f>
      </x:c>
      <x:c r="AT69" s="174" t="str">
        <x:f>IF(M69&lt;&gt;"是","",IF(OR(AL69="",AN69=""),"",IF(OR(AL69="0分档",AN69="0分档"),"主席履职待改进",IF(AND(AL69="突出档",AN69="突出档"),"主席履职突出","主席履职合格"))))</x:f>
      </x:c>
      <x:c r="AU69" s="174" t="str">
        <x:f>IF(OR(T69="",U69="",W69="",Y69="",Z69=""),"",IF(T69="不适用",0,10)+IF(U69="不适用",0,30)+25+25+IF(Z69="不适用",0,10))</x:f>
      </x:c>
      <x:c r="AV69" s="174" t="str">
        <x:f>IF(AU69="","",SUM(AF69:AJ69))</x:f>
      </x:c>
      <x:c r="AW69" s="186" t="str">
        <x:f>IF(AU69="","",ROUND(AV69/AU69*100,1))</x:f>
      </x:c>
      <x:c r="AX69" s="174" t="str">
        <x:f>IF(OR(AH69="",AI69=""),"",AH69+AI69)</x:f>
      </x:c>
      <x:c r="AY69" s="174" t="str">
        <x:f>IF(AX69="","",IF(AX69&lt;30,"未达标","达到门槛"))</x:f>
      </x:c>
      <x:c r="AZ69" s="174" t="str">
        <x:f>IF(A69="","",IF(OR(O69="仅挂会无有效参与",O69="缺席"),"是","否"))</x:f>
      </x:c>
      <x:c r="BA69" s="186" t="str">
        <x:f>IF(A69="","",IF(AZ69="是",0,AW69))</x:f>
      </x:c>
      <x:c r="BB69" s="174"/>
      <x:c r="BC69" s="186"/>
      <x:c r="BD69" s="186" t="str">
        <x:f>IF(A69="","",BA69)</x:f>
      </x:c>
      <x:c r="BE69" s="161"/>
      <x:c r="BF69" s="161"/>
      <x:c r="BG69" s="161"/>
      <x:c r="BH69" s="180"/>
      <x:c r="BI69" s="183"/>
    </x:row>
    <x:row r="70" ht="32" customHeight="1">
      <x:c r="A70" s="160"/>
      <x:c r="B70" s="161"/>
      <x:c r="C70" s="161"/>
      <x:c r="D70" s="161"/>
      <x:c r="E70" s="161"/>
      <x:c r="F70" s="180"/>
      <x:c r="G70" s="161" t="str">
        <x:f>IF(F70="","","H"&amp;IF(MONTH(F70)&lt;=6,1,2))</x:f>
      </x:c>
      <x:c r="H70" s="161"/>
      <x:c r="I70" s="161"/>
      <x:c r="J70" s="161"/>
      <x:c r="K70" s="161"/>
      <x:c r="L70" s="161"/>
      <x:c r="M70" s="161"/>
      <x:c r="N70" s="161"/>
      <x:c r="O70" s="161"/>
      <x:c r="P70" s="161"/>
      <x:c r="Q70" s="161"/>
      <x:c r="R70" s="161"/>
      <x:c r="S70" s="161"/>
      <x:c r="T70" s="165"/>
      <x:c r="U70" s="165"/>
      <x:c r="V70" s="168"/>
      <x:c r="W70" s="165"/>
      <x:c r="X70" s="168"/>
      <x:c r="Y70" s="165"/>
      <x:c r="Z70" s="165"/>
      <x:c r="AA70" s="171"/>
      <x:c r="AB70" s="171"/>
      <x:c r="AC70" s="171"/>
      <x:c r="AD70" s="171"/>
      <x:c r="AE70" s="171"/>
      <x:c r="AF70" s="174" t="str">
        <x:f>IF(T70="","",IF(T70="不适用",0,IF(T70="满分档",10,IF(T70="中间档",5,0))))</x:f>
      </x:c>
      <x:c r="AG70" s="174" t="str">
        <x:f>IF(U70="","",IF(U70="不适用",0,IF(U70="满分档",30,IF(U70="中间档",15,0))))</x:f>
      </x:c>
      <x:c r="AH70" s="174" t="str">
        <x:f>IF(W70="","",IF(W70="满分档",25,IF(W70="中间档",15,0)))</x:f>
      </x:c>
      <x:c r="AI70" s="174" t="str">
        <x:f>IF(Y70="","",IF(Y70="满分档",25,IF(Y70="中间档",15,0)))</x:f>
      </x:c>
      <x:c r="AJ70" s="174" t="str">
        <x:f>IF(Z70="","",IF(Z70="不适用",0,IF(Z70="满分档",10,IF(Z70="中间档",5,0))))</x:f>
      </x:c>
      <x:c r="AK70" s="168"/>
      <x:c r="AL70" s="165"/>
      <x:c r="AM70" s="168"/>
      <x:c r="AN70" s="165"/>
      <x:c r="AO70" s="171"/>
      <x:c r="AP70" s="171"/>
      <x:c r="AQ70" s="174" t="str">
        <x:f>IF(M70&lt;&gt;"是","",IF(AL70="","",IF(AL70="突出档",10,IF(AL70="达标档",6,0))))</x:f>
      </x:c>
      <x:c r="AR70" s="174" t="str">
        <x:f>IF(M70&lt;&gt;"是","",IF(AN70="","",IF(AN70="突出档",10,IF(AN70="达标档",6,0))))</x:f>
      </x:c>
      <x:c r="AS70" s="174" t="str">
        <x:f>IF(M70&lt;&gt;"是","",IF(OR(AQ70="",AR70=""),"",SUM(AQ70:AR70)))</x:f>
      </x:c>
      <x:c r="AT70" s="174" t="str">
        <x:f>IF(M70&lt;&gt;"是","",IF(OR(AL70="",AN70=""),"",IF(OR(AL70="0分档",AN70="0分档"),"主席履职待改进",IF(AND(AL70="突出档",AN70="突出档"),"主席履职突出","主席履职合格"))))</x:f>
      </x:c>
      <x:c r="AU70" s="174" t="str">
        <x:f>IF(OR(T70="",U70="",W70="",Y70="",Z70=""),"",IF(T70="不适用",0,10)+IF(U70="不适用",0,30)+25+25+IF(Z70="不适用",0,10))</x:f>
      </x:c>
      <x:c r="AV70" s="174" t="str">
        <x:f>IF(AU70="","",SUM(AF70:AJ70))</x:f>
      </x:c>
      <x:c r="AW70" s="186" t="str">
        <x:f>IF(AU70="","",ROUND(AV70/AU70*100,1))</x:f>
      </x:c>
      <x:c r="AX70" s="174" t="str">
        <x:f>IF(OR(AH70="",AI70=""),"",AH70+AI70)</x:f>
      </x:c>
      <x:c r="AY70" s="174" t="str">
        <x:f>IF(AX70="","",IF(AX70&lt;30,"未达标","达到门槛"))</x:f>
      </x:c>
      <x:c r="AZ70" s="174" t="str">
        <x:f>IF(A70="","",IF(OR(O70="仅挂会无有效参与",O70="缺席"),"是","否"))</x:f>
      </x:c>
      <x:c r="BA70" s="186" t="str">
        <x:f>IF(A70="","",IF(AZ70="是",0,AW70))</x:f>
      </x:c>
      <x:c r="BB70" s="174"/>
      <x:c r="BC70" s="186"/>
      <x:c r="BD70" s="186" t="str">
        <x:f>IF(A70="","",BA70)</x:f>
      </x:c>
      <x:c r="BE70" s="161"/>
      <x:c r="BF70" s="161"/>
      <x:c r="BG70" s="161"/>
      <x:c r="BH70" s="180"/>
      <x:c r="BI70" s="183"/>
    </x:row>
    <x:row r="71" ht="32" customHeight="1">
      <x:c r="A71" s="160"/>
      <x:c r="B71" s="161"/>
      <x:c r="C71" s="161"/>
      <x:c r="D71" s="161"/>
      <x:c r="E71" s="161"/>
      <x:c r="F71" s="180"/>
      <x:c r="G71" s="161" t="str">
        <x:f>IF(F71="","","H"&amp;IF(MONTH(F71)&lt;=6,1,2))</x:f>
      </x:c>
      <x:c r="H71" s="161"/>
      <x:c r="I71" s="161"/>
      <x:c r="J71" s="161"/>
      <x:c r="K71" s="161"/>
      <x:c r="L71" s="161"/>
      <x:c r="M71" s="161"/>
      <x:c r="N71" s="161"/>
      <x:c r="O71" s="161"/>
      <x:c r="P71" s="161"/>
      <x:c r="Q71" s="161"/>
      <x:c r="R71" s="161"/>
      <x:c r="S71" s="161"/>
      <x:c r="T71" s="165"/>
      <x:c r="U71" s="165"/>
      <x:c r="V71" s="168"/>
      <x:c r="W71" s="165"/>
      <x:c r="X71" s="168"/>
      <x:c r="Y71" s="165"/>
      <x:c r="Z71" s="165"/>
      <x:c r="AA71" s="171"/>
      <x:c r="AB71" s="171"/>
      <x:c r="AC71" s="171"/>
      <x:c r="AD71" s="171"/>
      <x:c r="AE71" s="171"/>
      <x:c r="AF71" s="174" t="str">
        <x:f>IF(T71="","",IF(T71="不适用",0,IF(T71="满分档",10,IF(T71="中间档",5,0))))</x:f>
      </x:c>
      <x:c r="AG71" s="174" t="str">
        <x:f>IF(U71="","",IF(U71="不适用",0,IF(U71="满分档",30,IF(U71="中间档",15,0))))</x:f>
      </x:c>
      <x:c r="AH71" s="174" t="str">
        <x:f>IF(W71="","",IF(W71="满分档",25,IF(W71="中间档",15,0)))</x:f>
      </x:c>
      <x:c r="AI71" s="174" t="str">
        <x:f>IF(Y71="","",IF(Y71="满分档",25,IF(Y71="中间档",15,0)))</x:f>
      </x:c>
      <x:c r="AJ71" s="174" t="str">
        <x:f>IF(Z71="","",IF(Z71="不适用",0,IF(Z71="满分档",10,IF(Z71="中间档",5,0))))</x:f>
      </x:c>
      <x:c r="AK71" s="168"/>
      <x:c r="AL71" s="165"/>
      <x:c r="AM71" s="168"/>
      <x:c r="AN71" s="165"/>
      <x:c r="AO71" s="171"/>
      <x:c r="AP71" s="171"/>
      <x:c r="AQ71" s="174" t="str">
        <x:f>IF(M71&lt;&gt;"是","",IF(AL71="","",IF(AL71="突出档",10,IF(AL71="达标档",6,0))))</x:f>
      </x:c>
      <x:c r="AR71" s="174" t="str">
        <x:f>IF(M71&lt;&gt;"是","",IF(AN71="","",IF(AN71="突出档",10,IF(AN71="达标档",6,0))))</x:f>
      </x:c>
      <x:c r="AS71" s="174" t="str">
        <x:f>IF(M71&lt;&gt;"是","",IF(OR(AQ71="",AR71=""),"",SUM(AQ71:AR71)))</x:f>
      </x:c>
      <x:c r="AT71" s="174" t="str">
        <x:f>IF(M71&lt;&gt;"是","",IF(OR(AL71="",AN71=""),"",IF(OR(AL71="0分档",AN71="0分档"),"主席履职待改进",IF(AND(AL71="突出档",AN71="突出档"),"主席履职突出","主席履职合格"))))</x:f>
      </x:c>
      <x:c r="AU71" s="174" t="str">
        <x:f>IF(OR(T71="",U71="",W71="",Y71="",Z71=""),"",IF(T71="不适用",0,10)+IF(U71="不适用",0,30)+25+25+IF(Z71="不适用",0,10))</x:f>
      </x:c>
      <x:c r="AV71" s="174" t="str">
        <x:f>IF(AU71="","",SUM(AF71:AJ71))</x:f>
      </x:c>
      <x:c r="AW71" s="186" t="str">
        <x:f>IF(AU71="","",ROUND(AV71/AU71*100,1))</x:f>
      </x:c>
      <x:c r="AX71" s="174" t="str">
        <x:f>IF(OR(AH71="",AI71=""),"",AH71+AI71)</x:f>
      </x:c>
      <x:c r="AY71" s="174" t="str">
        <x:f>IF(AX71="","",IF(AX71&lt;30,"未达标","达到门槛"))</x:f>
      </x:c>
      <x:c r="AZ71" s="174" t="str">
        <x:f>IF(A71="","",IF(OR(O71="仅挂会无有效参与",O71="缺席"),"是","否"))</x:f>
      </x:c>
      <x:c r="BA71" s="186" t="str">
        <x:f>IF(A71="","",IF(AZ71="是",0,AW71))</x:f>
      </x:c>
      <x:c r="BB71" s="174"/>
      <x:c r="BC71" s="186"/>
      <x:c r="BD71" s="186" t="str">
        <x:f>IF(A71="","",BA71)</x:f>
      </x:c>
      <x:c r="BE71" s="161"/>
      <x:c r="BF71" s="161"/>
      <x:c r="BG71" s="161"/>
      <x:c r="BH71" s="180"/>
      <x:c r="BI71" s="183"/>
    </x:row>
    <x:row r="72" ht="32" customHeight="1">
      <x:c r="A72" s="160"/>
      <x:c r="B72" s="161"/>
      <x:c r="C72" s="161"/>
      <x:c r="D72" s="161"/>
      <x:c r="E72" s="161"/>
      <x:c r="F72" s="180"/>
      <x:c r="G72" s="161" t="str">
        <x:f>IF(F72="","","H"&amp;IF(MONTH(F72)&lt;=6,1,2))</x:f>
      </x:c>
      <x:c r="H72" s="161"/>
      <x:c r="I72" s="161"/>
      <x:c r="J72" s="161"/>
      <x:c r="K72" s="161"/>
      <x:c r="L72" s="161"/>
      <x:c r="M72" s="161"/>
      <x:c r="N72" s="161"/>
      <x:c r="O72" s="161"/>
      <x:c r="P72" s="161"/>
      <x:c r="Q72" s="161"/>
      <x:c r="R72" s="161"/>
      <x:c r="S72" s="161"/>
      <x:c r="T72" s="165"/>
      <x:c r="U72" s="165"/>
      <x:c r="V72" s="168"/>
      <x:c r="W72" s="165"/>
      <x:c r="X72" s="168"/>
      <x:c r="Y72" s="165"/>
      <x:c r="Z72" s="165"/>
      <x:c r="AA72" s="171"/>
      <x:c r="AB72" s="171"/>
      <x:c r="AC72" s="171"/>
      <x:c r="AD72" s="171"/>
      <x:c r="AE72" s="171"/>
      <x:c r="AF72" s="174" t="str">
        <x:f>IF(T72="","",IF(T72="不适用",0,IF(T72="满分档",10,IF(T72="中间档",5,0))))</x:f>
      </x:c>
      <x:c r="AG72" s="174" t="str">
        <x:f>IF(U72="","",IF(U72="不适用",0,IF(U72="满分档",30,IF(U72="中间档",15,0))))</x:f>
      </x:c>
      <x:c r="AH72" s="174" t="str">
        <x:f>IF(W72="","",IF(W72="满分档",25,IF(W72="中间档",15,0)))</x:f>
      </x:c>
      <x:c r="AI72" s="174" t="str">
        <x:f>IF(Y72="","",IF(Y72="满分档",25,IF(Y72="中间档",15,0)))</x:f>
      </x:c>
      <x:c r="AJ72" s="174" t="str">
        <x:f>IF(Z72="","",IF(Z72="不适用",0,IF(Z72="满分档",10,IF(Z72="中间档",5,0))))</x:f>
      </x:c>
      <x:c r="AK72" s="168"/>
      <x:c r="AL72" s="165"/>
      <x:c r="AM72" s="168"/>
      <x:c r="AN72" s="165"/>
      <x:c r="AO72" s="171"/>
      <x:c r="AP72" s="171"/>
      <x:c r="AQ72" s="174" t="str">
        <x:f>IF(M72&lt;&gt;"是","",IF(AL72="","",IF(AL72="突出档",10,IF(AL72="达标档",6,0))))</x:f>
      </x:c>
      <x:c r="AR72" s="174" t="str">
        <x:f>IF(M72&lt;&gt;"是","",IF(AN72="","",IF(AN72="突出档",10,IF(AN72="达标档",6,0))))</x:f>
      </x:c>
      <x:c r="AS72" s="174" t="str">
        <x:f>IF(M72&lt;&gt;"是","",IF(OR(AQ72="",AR72=""),"",SUM(AQ72:AR72)))</x:f>
      </x:c>
      <x:c r="AT72" s="174" t="str">
        <x:f>IF(M72&lt;&gt;"是","",IF(OR(AL72="",AN72=""),"",IF(OR(AL72="0分档",AN72="0分档"),"主席履职待改进",IF(AND(AL72="突出档",AN72="突出档"),"主席履职突出","主席履职合格"))))</x:f>
      </x:c>
      <x:c r="AU72" s="174" t="str">
        <x:f>IF(OR(T72="",U72="",W72="",Y72="",Z72=""),"",IF(T72="不适用",0,10)+IF(U72="不适用",0,30)+25+25+IF(Z72="不适用",0,10))</x:f>
      </x:c>
      <x:c r="AV72" s="174" t="str">
        <x:f>IF(AU72="","",SUM(AF72:AJ72))</x:f>
      </x:c>
      <x:c r="AW72" s="186" t="str">
        <x:f>IF(AU72="","",ROUND(AV72/AU72*100,1))</x:f>
      </x:c>
      <x:c r="AX72" s="174" t="str">
        <x:f>IF(OR(AH72="",AI72=""),"",AH72+AI72)</x:f>
      </x:c>
      <x:c r="AY72" s="174" t="str">
        <x:f>IF(AX72="","",IF(AX72&lt;30,"未达标","达到门槛"))</x:f>
      </x:c>
      <x:c r="AZ72" s="174" t="str">
        <x:f>IF(A72="","",IF(OR(O72="仅挂会无有效参与",O72="缺席"),"是","否"))</x:f>
      </x:c>
      <x:c r="BA72" s="186" t="str">
        <x:f>IF(A72="","",IF(AZ72="是",0,AW72))</x:f>
      </x:c>
      <x:c r="BB72" s="174"/>
      <x:c r="BC72" s="186"/>
      <x:c r="BD72" s="186" t="str">
        <x:f>IF(A72="","",BA72)</x:f>
      </x:c>
      <x:c r="BE72" s="161"/>
      <x:c r="BF72" s="161"/>
      <x:c r="BG72" s="161"/>
      <x:c r="BH72" s="180"/>
      <x:c r="BI72" s="183"/>
    </x:row>
    <x:row r="73" ht="32" customHeight="1">
      <x:c r="A73" s="160"/>
      <x:c r="B73" s="161"/>
      <x:c r="C73" s="161"/>
      <x:c r="D73" s="161"/>
      <x:c r="E73" s="161"/>
      <x:c r="F73" s="180"/>
      <x:c r="G73" s="161" t="str">
        <x:f>IF(F73="","","H"&amp;IF(MONTH(F73)&lt;=6,1,2))</x:f>
      </x:c>
      <x:c r="H73" s="161"/>
      <x:c r="I73" s="161"/>
      <x:c r="J73" s="161"/>
      <x:c r="K73" s="161"/>
      <x:c r="L73" s="161"/>
      <x:c r="M73" s="161"/>
      <x:c r="N73" s="161"/>
      <x:c r="O73" s="161"/>
      <x:c r="P73" s="161"/>
      <x:c r="Q73" s="161"/>
      <x:c r="R73" s="161"/>
      <x:c r="S73" s="161"/>
      <x:c r="T73" s="165"/>
      <x:c r="U73" s="165"/>
      <x:c r="V73" s="168"/>
      <x:c r="W73" s="165"/>
      <x:c r="X73" s="168"/>
      <x:c r="Y73" s="165"/>
      <x:c r="Z73" s="165"/>
      <x:c r="AA73" s="171"/>
      <x:c r="AB73" s="171"/>
      <x:c r="AC73" s="171"/>
      <x:c r="AD73" s="171"/>
      <x:c r="AE73" s="171"/>
      <x:c r="AF73" s="174" t="str">
        <x:f>IF(T73="","",IF(T73="不适用",0,IF(T73="满分档",10,IF(T73="中间档",5,0))))</x:f>
      </x:c>
      <x:c r="AG73" s="174" t="str">
        <x:f>IF(U73="","",IF(U73="不适用",0,IF(U73="满分档",30,IF(U73="中间档",15,0))))</x:f>
      </x:c>
      <x:c r="AH73" s="174" t="str">
        <x:f>IF(W73="","",IF(W73="满分档",25,IF(W73="中间档",15,0)))</x:f>
      </x:c>
      <x:c r="AI73" s="174" t="str">
        <x:f>IF(Y73="","",IF(Y73="满分档",25,IF(Y73="中间档",15,0)))</x:f>
      </x:c>
      <x:c r="AJ73" s="174" t="str">
        <x:f>IF(Z73="","",IF(Z73="不适用",0,IF(Z73="满分档",10,IF(Z73="中间档",5,0))))</x:f>
      </x:c>
      <x:c r="AK73" s="168"/>
      <x:c r="AL73" s="165"/>
      <x:c r="AM73" s="168"/>
      <x:c r="AN73" s="165"/>
      <x:c r="AO73" s="171"/>
      <x:c r="AP73" s="171"/>
      <x:c r="AQ73" s="174" t="str">
        <x:f>IF(M73&lt;&gt;"是","",IF(AL73="","",IF(AL73="突出档",10,IF(AL73="达标档",6,0))))</x:f>
      </x:c>
      <x:c r="AR73" s="174" t="str">
        <x:f>IF(M73&lt;&gt;"是","",IF(AN73="","",IF(AN73="突出档",10,IF(AN73="达标档",6,0))))</x:f>
      </x:c>
      <x:c r="AS73" s="174" t="str">
        <x:f>IF(M73&lt;&gt;"是","",IF(OR(AQ73="",AR73=""),"",SUM(AQ73:AR73)))</x:f>
      </x:c>
      <x:c r="AT73" s="174" t="str">
        <x:f>IF(M73&lt;&gt;"是","",IF(OR(AL73="",AN73=""),"",IF(OR(AL73="0分档",AN73="0分档"),"主席履职待改进",IF(AND(AL73="突出档",AN73="突出档"),"主席履职突出","主席履职合格"))))</x:f>
      </x:c>
      <x:c r="AU73" s="174" t="str">
        <x:f>IF(OR(T73="",U73="",W73="",Y73="",Z73=""),"",IF(T73="不适用",0,10)+IF(U73="不适用",0,30)+25+25+IF(Z73="不适用",0,10))</x:f>
      </x:c>
      <x:c r="AV73" s="174" t="str">
        <x:f>IF(AU73="","",SUM(AF73:AJ73))</x:f>
      </x:c>
      <x:c r="AW73" s="186" t="str">
        <x:f>IF(AU73="","",ROUND(AV73/AU73*100,1))</x:f>
      </x:c>
      <x:c r="AX73" s="174" t="str">
        <x:f>IF(OR(AH73="",AI73=""),"",AH73+AI73)</x:f>
      </x:c>
      <x:c r="AY73" s="174" t="str">
        <x:f>IF(AX73="","",IF(AX73&lt;30,"未达标","达到门槛"))</x:f>
      </x:c>
      <x:c r="AZ73" s="174" t="str">
        <x:f>IF(A73="","",IF(OR(O73="仅挂会无有效参与",O73="缺席"),"是","否"))</x:f>
      </x:c>
      <x:c r="BA73" s="186" t="str">
        <x:f>IF(A73="","",IF(AZ73="是",0,AW73))</x:f>
      </x:c>
      <x:c r="BB73" s="174"/>
      <x:c r="BC73" s="186"/>
      <x:c r="BD73" s="186" t="str">
        <x:f>IF(A73="","",BA73)</x:f>
      </x:c>
      <x:c r="BE73" s="161"/>
      <x:c r="BF73" s="161"/>
      <x:c r="BG73" s="161"/>
      <x:c r="BH73" s="180"/>
      <x:c r="BI73" s="183"/>
    </x:row>
    <x:row r="74" ht="32" customHeight="1">
      <x:c r="A74" s="160"/>
      <x:c r="B74" s="161"/>
      <x:c r="C74" s="161"/>
      <x:c r="D74" s="161"/>
      <x:c r="E74" s="161"/>
      <x:c r="F74" s="180"/>
      <x:c r="G74" s="161" t="str">
        <x:f>IF(F74="","","H"&amp;IF(MONTH(F74)&lt;=6,1,2))</x:f>
      </x:c>
      <x:c r="H74" s="161"/>
      <x:c r="I74" s="161"/>
      <x:c r="J74" s="161"/>
      <x:c r="K74" s="161"/>
      <x:c r="L74" s="161"/>
      <x:c r="M74" s="161"/>
      <x:c r="N74" s="161"/>
      <x:c r="O74" s="161"/>
      <x:c r="P74" s="161"/>
      <x:c r="Q74" s="161"/>
      <x:c r="R74" s="161"/>
      <x:c r="S74" s="161"/>
      <x:c r="T74" s="165"/>
      <x:c r="U74" s="165"/>
      <x:c r="V74" s="168"/>
      <x:c r="W74" s="165"/>
      <x:c r="X74" s="168"/>
      <x:c r="Y74" s="165"/>
      <x:c r="Z74" s="165"/>
      <x:c r="AA74" s="171"/>
      <x:c r="AB74" s="171"/>
      <x:c r="AC74" s="171"/>
      <x:c r="AD74" s="171"/>
      <x:c r="AE74" s="171"/>
      <x:c r="AF74" s="174" t="str">
        <x:f>IF(T74="","",IF(T74="不适用",0,IF(T74="满分档",10,IF(T74="中间档",5,0))))</x:f>
      </x:c>
      <x:c r="AG74" s="174" t="str">
        <x:f>IF(U74="","",IF(U74="不适用",0,IF(U74="满分档",30,IF(U74="中间档",15,0))))</x:f>
      </x:c>
      <x:c r="AH74" s="174" t="str">
        <x:f>IF(W74="","",IF(W74="满分档",25,IF(W74="中间档",15,0)))</x:f>
      </x:c>
      <x:c r="AI74" s="174" t="str">
        <x:f>IF(Y74="","",IF(Y74="满分档",25,IF(Y74="中间档",15,0)))</x:f>
      </x:c>
      <x:c r="AJ74" s="174" t="str">
        <x:f>IF(Z74="","",IF(Z74="不适用",0,IF(Z74="满分档",10,IF(Z74="中间档",5,0))))</x:f>
      </x:c>
      <x:c r="AK74" s="168"/>
      <x:c r="AL74" s="165"/>
      <x:c r="AM74" s="168"/>
      <x:c r="AN74" s="165"/>
      <x:c r="AO74" s="171"/>
      <x:c r="AP74" s="171"/>
      <x:c r="AQ74" s="174" t="str">
        <x:f>IF(M74&lt;&gt;"是","",IF(AL74="","",IF(AL74="突出档",10,IF(AL74="达标档",6,0))))</x:f>
      </x:c>
      <x:c r="AR74" s="174" t="str">
        <x:f>IF(M74&lt;&gt;"是","",IF(AN74="","",IF(AN74="突出档",10,IF(AN74="达标档",6,0))))</x:f>
      </x:c>
      <x:c r="AS74" s="174" t="str">
        <x:f>IF(M74&lt;&gt;"是","",IF(OR(AQ74="",AR74=""),"",SUM(AQ74:AR74)))</x:f>
      </x:c>
      <x:c r="AT74" s="174" t="str">
        <x:f>IF(M74&lt;&gt;"是","",IF(OR(AL74="",AN74=""),"",IF(OR(AL74="0分档",AN74="0分档"),"主席履职待改进",IF(AND(AL74="突出档",AN74="突出档"),"主席履职突出","主席履职合格"))))</x:f>
      </x:c>
      <x:c r="AU74" s="174" t="str">
        <x:f>IF(OR(T74="",U74="",W74="",Y74="",Z74=""),"",IF(T74="不适用",0,10)+IF(U74="不适用",0,30)+25+25+IF(Z74="不适用",0,10))</x:f>
      </x:c>
      <x:c r="AV74" s="174" t="str">
        <x:f>IF(AU74="","",SUM(AF74:AJ74))</x:f>
      </x:c>
      <x:c r="AW74" s="186" t="str">
        <x:f>IF(AU74="","",ROUND(AV74/AU74*100,1))</x:f>
      </x:c>
      <x:c r="AX74" s="174" t="str">
        <x:f>IF(OR(AH74="",AI74=""),"",AH74+AI74)</x:f>
      </x:c>
      <x:c r="AY74" s="174" t="str">
        <x:f>IF(AX74="","",IF(AX74&lt;30,"未达标","达到门槛"))</x:f>
      </x:c>
      <x:c r="AZ74" s="174" t="str">
        <x:f>IF(A74="","",IF(OR(O74="仅挂会无有效参与",O74="缺席"),"是","否"))</x:f>
      </x:c>
      <x:c r="BA74" s="186" t="str">
        <x:f>IF(A74="","",IF(AZ74="是",0,AW74))</x:f>
      </x:c>
      <x:c r="BB74" s="174"/>
      <x:c r="BC74" s="186"/>
      <x:c r="BD74" s="186" t="str">
        <x:f>IF(A74="","",BA74)</x:f>
      </x:c>
      <x:c r="BE74" s="161"/>
      <x:c r="BF74" s="161"/>
      <x:c r="BG74" s="161"/>
      <x:c r="BH74" s="180"/>
      <x:c r="BI74" s="183"/>
    </x:row>
    <x:row r="75" ht="32" customHeight="1">
      <x:c r="A75" s="160"/>
      <x:c r="B75" s="161"/>
      <x:c r="C75" s="161"/>
      <x:c r="D75" s="161"/>
      <x:c r="E75" s="161"/>
      <x:c r="F75" s="180"/>
      <x:c r="G75" s="161" t="str">
        <x:f>IF(F75="","","H"&amp;IF(MONTH(F75)&lt;=6,1,2))</x:f>
      </x:c>
      <x:c r="H75" s="161"/>
      <x:c r="I75" s="161"/>
      <x:c r="J75" s="161"/>
      <x:c r="K75" s="161"/>
      <x:c r="L75" s="161"/>
      <x:c r="M75" s="161"/>
      <x:c r="N75" s="161"/>
      <x:c r="O75" s="161"/>
      <x:c r="P75" s="161"/>
      <x:c r="Q75" s="161"/>
      <x:c r="R75" s="161"/>
      <x:c r="S75" s="161"/>
      <x:c r="T75" s="165"/>
      <x:c r="U75" s="165"/>
      <x:c r="V75" s="168"/>
      <x:c r="W75" s="165"/>
      <x:c r="X75" s="168"/>
      <x:c r="Y75" s="165"/>
      <x:c r="Z75" s="165"/>
      <x:c r="AA75" s="171"/>
      <x:c r="AB75" s="171"/>
      <x:c r="AC75" s="171"/>
      <x:c r="AD75" s="171"/>
      <x:c r="AE75" s="171"/>
      <x:c r="AF75" s="174" t="str">
        <x:f>IF(T75="","",IF(T75="不适用",0,IF(T75="满分档",10,IF(T75="中间档",5,0))))</x:f>
      </x:c>
      <x:c r="AG75" s="174" t="str">
        <x:f>IF(U75="","",IF(U75="不适用",0,IF(U75="满分档",30,IF(U75="中间档",15,0))))</x:f>
      </x:c>
      <x:c r="AH75" s="174" t="str">
        <x:f>IF(W75="","",IF(W75="满分档",25,IF(W75="中间档",15,0)))</x:f>
      </x:c>
      <x:c r="AI75" s="174" t="str">
        <x:f>IF(Y75="","",IF(Y75="满分档",25,IF(Y75="中间档",15,0)))</x:f>
      </x:c>
      <x:c r="AJ75" s="174" t="str">
        <x:f>IF(Z75="","",IF(Z75="不适用",0,IF(Z75="满分档",10,IF(Z75="中间档",5,0))))</x:f>
      </x:c>
      <x:c r="AK75" s="168"/>
      <x:c r="AL75" s="165"/>
      <x:c r="AM75" s="168"/>
      <x:c r="AN75" s="165"/>
      <x:c r="AO75" s="171"/>
      <x:c r="AP75" s="171"/>
      <x:c r="AQ75" s="174" t="str">
        <x:f>IF(M75&lt;&gt;"是","",IF(AL75="","",IF(AL75="突出档",10,IF(AL75="达标档",6,0))))</x:f>
      </x:c>
      <x:c r="AR75" s="174" t="str">
        <x:f>IF(M75&lt;&gt;"是","",IF(AN75="","",IF(AN75="突出档",10,IF(AN75="达标档",6,0))))</x:f>
      </x:c>
      <x:c r="AS75" s="174" t="str">
        <x:f>IF(M75&lt;&gt;"是","",IF(OR(AQ75="",AR75=""),"",SUM(AQ75:AR75)))</x:f>
      </x:c>
      <x:c r="AT75" s="174" t="str">
        <x:f>IF(M75&lt;&gt;"是","",IF(OR(AL75="",AN75=""),"",IF(OR(AL75="0分档",AN75="0分档"),"主席履职待改进",IF(AND(AL75="突出档",AN75="突出档"),"主席履职突出","主席履职合格"))))</x:f>
      </x:c>
      <x:c r="AU75" s="174" t="str">
        <x:f>IF(OR(T75="",U75="",W75="",Y75="",Z75=""),"",IF(T75="不适用",0,10)+IF(U75="不适用",0,30)+25+25+IF(Z75="不适用",0,10))</x:f>
      </x:c>
      <x:c r="AV75" s="174" t="str">
        <x:f>IF(AU75="","",SUM(AF75:AJ75))</x:f>
      </x:c>
      <x:c r="AW75" s="186" t="str">
        <x:f>IF(AU75="","",ROUND(AV75/AU75*100,1))</x:f>
      </x:c>
      <x:c r="AX75" s="174" t="str">
        <x:f>IF(OR(AH75="",AI75=""),"",AH75+AI75)</x:f>
      </x:c>
      <x:c r="AY75" s="174" t="str">
        <x:f>IF(AX75="","",IF(AX75&lt;30,"未达标","达到门槛"))</x:f>
      </x:c>
      <x:c r="AZ75" s="174" t="str">
        <x:f>IF(A75="","",IF(OR(O75="仅挂会无有效参与",O75="缺席"),"是","否"))</x:f>
      </x:c>
      <x:c r="BA75" s="186" t="str">
        <x:f>IF(A75="","",IF(AZ75="是",0,AW75))</x:f>
      </x:c>
      <x:c r="BB75" s="174"/>
      <x:c r="BC75" s="186"/>
      <x:c r="BD75" s="186" t="str">
        <x:f>IF(A75="","",BA75)</x:f>
      </x:c>
      <x:c r="BE75" s="161"/>
      <x:c r="BF75" s="161"/>
      <x:c r="BG75" s="161"/>
      <x:c r="BH75" s="180"/>
      <x:c r="BI75" s="183"/>
    </x:row>
    <x:row r="76" ht="32" customHeight="1">
      <x:c r="A76" s="160"/>
      <x:c r="B76" s="161"/>
      <x:c r="C76" s="161"/>
      <x:c r="D76" s="161"/>
      <x:c r="E76" s="161"/>
      <x:c r="F76" s="180"/>
      <x:c r="G76" s="161" t="str">
        <x:f>IF(F76="","","H"&amp;IF(MONTH(F76)&lt;=6,1,2))</x:f>
      </x:c>
      <x:c r="H76" s="161"/>
      <x:c r="I76" s="161"/>
      <x:c r="J76" s="161"/>
      <x:c r="K76" s="161"/>
      <x:c r="L76" s="161"/>
      <x:c r="M76" s="161"/>
      <x:c r="N76" s="161"/>
      <x:c r="O76" s="161"/>
      <x:c r="P76" s="161"/>
      <x:c r="Q76" s="161"/>
      <x:c r="R76" s="161"/>
      <x:c r="S76" s="161"/>
      <x:c r="T76" s="165"/>
      <x:c r="U76" s="165"/>
      <x:c r="V76" s="168"/>
      <x:c r="W76" s="165"/>
      <x:c r="X76" s="168"/>
      <x:c r="Y76" s="165"/>
      <x:c r="Z76" s="165"/>
      <x:c r="AA76" s="171"/>
      <x:c r="AB76" s="171"/>
      <x:c r="AC76" s="171"/>
      <x:c r="AD76" s="171"/>
      <x:c r="AE76" s="171"/>
      <x:c r="AF76" s="174" t="str">
        <x:f>IF(T76="","",IF(T76="不适用",0,IF(T76="满分档",10,IF(T76="中间档",5,0))))</x:f>
      </x:c>
      <x:c r="AG76" s="174" t="str">
        <x:f>IF(U76="","",IF(U76="不适用",0,IF(U76="满分档",30,IF(U76="中间档",15,0))))</x:f>
      </x:c>
      <x:c r="AH76" s="174" t="str">
        <x:f>IF(W76="","",IF(W76="满分档",25,IF(W76="中间档",15,0)))</x:f>
      </x:c>
      <x:c r="AI76" s="174" t="str">
        <x:f>IF(Y76="","",IF(Y76="满分档",25,IF(Y76="中间档",15,0)))</x:f>
      </x:c>
      <x:c r="AJ76" s="174" t="str">
        <x:f>IF(Z76="","",IF(Z76="不适用",0,IF(Z76="满分档",10,IF(Z76="中间档",5,0))))</x:f>
      </x:c>
      <x:c r="AK76" s="168"/>
      <x:c r="AL76" s="165"/>
      <x:c r="AM76" s="168"/>
      <x:c r="AN76" s="165"/>
      <x:c r="AO76" s="171"/>
      <x:c r="AP76" s="171"/>
      <x:c r="AQ76" s="174" t="str">
        <x:f>IF(M76&lt;&gt;"是","",IF(AL76="","",IF(AL76="突出档",10,IF(AL76="达标档",6,0))))</x:f>
      </x:c>
      <x:c r="AR76" s="174" t="str">
        <x:f>IF(M76&lt;&gt;"是","",IF(AN76="","",IF(AN76="突出档",10,IF(AN76="达标档",6,0))))</x:f>
      </x:c>
      <x:c r="AS76" s="174" t="str">
        <x:f>IF(M76&lt;&gt;"是","",IF(OR(AQ76="",AR76=""),"",SUM(AQ76:AR76)))</x:f>
      </x:c>
      <x:c r="AT76" s="174" t="str">
        <x:f>IF(M76&lt;&gt;"是","",IF(OR(AL76="",AN76=""),"",IF(OR(AL76="0分档",AN76="0分档"),"主席履职待改进",IF(AND(AL76="突出档",AN76="突出档"),"主席履职突出","主席履职合格"))))</x:f>
      </x:c>
      <x:c r="AU76" s="174" t="str">
        <x:f>IF(OR(T76="",U76="",W76="",Y76="",Z76=""),"",IF(T76="不适用",0,10)+IF(U76="不适用",0,30)+25+25+IF(Z76="不适用",0,10))</x:f>
      </x:c>
      <x:c r="AV76" s="174" t="str">
        <x:f>IF(AU76="","",SUM(AF76:AJ76))</x:f>
      </x:c>
      <x:c r="AW76" s="186" t="str">
        <x:f>IF(AU76="","",ROUND(AV76/AU76*100,1))</x:f>
      </x:c>
      <x:c r="AX76" s="174" t="str">
        <x:f>IF(OR(AH76="",AI76=""),"",AH76+AI76)</x:f>
      </x:c>
      <x:c r="AY76" s="174" t="str">
        <x:f>IF(AX76="","",IF(AX76&lt;30,"未达标","达到门槛"))</x:f>
      </x:c>
      <x:c r="AZ76" s="174" t="str">
        <x:f>IF(A76="","",IF(OR(O76="仅挂会无有效参与",O76="缺席"),"是","否"))</x:f>
      </x:c>
      <x:c r="BA76" s="186" t="str">
        <x:f>IF(A76="","",IF(AZ76="是",0,AW76))</x:f>
      </x:c>
      <x:c r="BB76" s="174"/>
      <x:c r="BC76" s="186"/>
      <x:c r="BD76" s="186" t="str">
        <x:f>IF(A76="","",BA76)</x:f>
      </x:c>
      <x:c r="BE76" s="161"/>
      <x:c r="BF76" s="161"/>
      <x:c r="BG76" s="161"/>
      <x:c r="BH76" s="180"/>
      <x:c r="BI76" s="183"/>
    </x:row>
    <x:row r="77" ht="32" customHeight="1">
      <x:c r="A77" s="160"/>
      <x:c r="B77" s="161"/>
      <x:c r="C77" s="161"/>
      <x:c r="D77" s="161"/>
      <x:c r="E77" s="161"/>
      <x:c r="F77" s="180"/>
      <x:c r="G77" s="161" t="str">
        <x:f>IF(F77="","","H"&amp;IF(MONTH(F77)&lt;=6,1,2))</x:f>
      </x:c>
      <x:c r="H77" s="161"/>
      <x:c r="I77" s="161"/>
      <x:c r="J77" s="161"/>
      <x:c r="K77" s="161"/>
      <x:c r="L77" s="161"/>
      <x:c r="M77" s="161"/>
      <x:c r="N77" s="161"/>
      <x:c r="O77" s="161"/>
      <x:c r="P77" s="161"/>
      <x:c r="Q77" s="161"/>
      <x:c r="R77" s="161"/>
      <x:c r="S77" s="161"/>
      <x:c r="T77" s="165"/>
      <x:c r="U77" s="165"/>
      <x:c r="V77" s="168"/>
      <x:c r="W77" s="165"/>
      <x:c r="X77" s="168"/>
      <x:c r="Y77" s="165"/>
      <x:c r="Z77" s="165"/>
      <x:c r="AA77" s="171"/>
      <x:c r="AB77" s="171"/>
      <x:c r="AC77" s="171"/>
      <x:c r="AD77" s="171"/>
      <x:c r="AE77" s="171"/>
      <x:c r="AF77" s="174" t="str">
        <x:f>IF(T77="","",IF(T77="不适用",0,IF(T77="满分档",10,IF(T77="中间档",5,0))))</x:f>
      </x:c>
      <x:c r="AG77" s="174" t="str">
        <x:f>IF(U77="","",IF(U77="不适用",0,IF(U77="满分档",30,IF(U77="中间档",15,0))))</x:f>
      </x:c>
      <x:c r="AH77" s="174" t="str">
        <x:f>IF(W77="","",IF(W77="满分档",25,IF(W77="中间档",15,0)))</x:f>
      </x:c>
      <x:c r="AI77" s="174" t="str">
        <x:f>IF(Y77="","",IF(Y77="满分档",25,IF(Y77="中间档",15,0)))</x:f>
      </x:c>
      <x:c r="AJ77" s="174" t="str">
        <x:f>IF(Z77="","",IF(Z77="不适用",0,IF(Z77="满分档",10,IF(Z77="中间档",5,0))))</x:f>
      </x:c>
      <x:c r="AK77" s="168"/>
      <x:c r="AL77" s="165"/>
      <x:c r="AM77" s="168"/>
      <x:c r="AN77" s="165"/>
      <x:c r="AO77" s="171"/>
      <x:c r="AP77" s="171"/>
      <x:c r="AQ77" s="174" t="str">
        <x:f>IF(M77&lt;&gt;"是","",IF(AL77="","",IF(AL77="突出档",10,IF(AL77="达标档",6,0))))</x:f>
      </x:c>
      <x:c r="AR77" s="174" t="str">
        <x:f>IF(M77&lt;&gt;"是","",IF(AN77="","",IF(AN77="突出档",10,IF(AN77="达标档",6,0))))</x:f>
      </x:c>
      <x:c r="AS77" s="174" t="str">
        <x:f>IF(M77&lt;&gt;"是","",IF(OR(AQ77="",AR77=""),"",SUM(AQ77:AR77)))</x:f>
      </x:c>
      <x:c r="AT77" s="174" t="str">
        <x:f>IF(M77&lt;&gt;"是","",IF(OR(AL77="",AN77=""),"",IF(OR(AL77="0分档",AN77="0分档"),"主席履职待改进",IF(AND(AL77="突出档",AN77="突出档"),"主席履职突出","主席履职合格"))))</x:f>
      </x:c>
      <x:c r="AU77" s="174" t="str">
        <x:f>IF(OR(T77="",U77="",W77="",Y77="",Z77=""),"",IF(T77="不适用",0,10)+IF(U77="不适用",0,30)+25+25+IF(Z77="不适用",0,10))</x:f>
      </x:c>
      <x:c r="AV77" s="174" t="str">
        <x:f>IF(AU77="","",SUM(AF77:AJ77))</x:f>
      </x:c>
      <x:c r="AW77" s="186" t="str">
        <x:f>IF(AU77="","",ROUND(AV77/AU77*100,1))</x:f>
      </x:c>
      <x:c r="AX77" s="174" t="str">
        <x:f>IF(OR(AH77="",AI77=""),"",AH77+AI77)</x:f>
      </x:c>
      <x:c r="AY77" s="174" t="str">
        <x:f>IF(AX77="","",IF(AX77&lt;30,"未达标","达到门槛"))</x:f>
      </x:c>
      <x:c r="AZ77" s="174" t="str">
        <x:f>IF(A77="","",IF(OR(O77="仅挂会无有效参与",O77="缺席"),"是","否"))</x:f>
      </x:c>
      <x:c r="BA77" s="186" t="str">
        <x:f>IF(A77="","",IF(AZ77="是",0,AW77))</x:f>
      </x:c>
      <x:c r="BB77" s="174"/>
      <x:c r="BC77" s="186"/>
      <x:c r="BD77" s="186" t="str">
        <x:f>IF(A77="","",BA77)</x:f>
      </x:c>
      <x:c r="BE77" s="161"/>
      <x:c r="BF77" s="161"/>
      <x:c r="BG77" s="161"/>
      <x:c r="BH77" s="180"/>
      <x:c r="BI77" s="183"/>
    </x:row>
    <x:row r="78" ht="32" customHeight="1">
      <x:c r="A78" s="160"/>
      <x:c r="B78" s="161"/>
      <x:c r="C78" s="161"/>
      <x:c r="D78" s="161"/>
      <x:c r="E78" s="161"/>
      <x:c r="F78" s="180"/>
      <x:c r="G78" s="161" t="str">
        <x:f>IF(F78="","","H"&amp;IF(MONTH(F78)&lt;=6,1,2))</x:f>
      </x:c>
      <x:c r="H78" s="161"/>
      <x:c r="I78" s="161"/>
      <x:c r="J78" s="161"/>
      <x:c r="K78" s="161"/>
      <x:c r="L78" s="161"/>
      <x:c r="M78" s="161"/>
      <x:c r="N78" s="161"/>
      <x:c r="O78" s="161"/>
      <x:c r="P78" s="161"/>
      <x:c r="Q78" s="161"/>
      <x:c r="R78" s="161"/>
      <x:c r="S78" s="161"/>
      <x:c r="T78" s="165"/>
      <x:c r="U78" s="165"/>
      <x:c r="V78" s="168"/>
      <x:c r="W78" s="165"/>
      <x:c r="X78" s="168"/>
      <x:c r="Y78" s="165"/>
      <x:c r="Z78" s="165"/>
      <x:c r="AA78" s="171"/>
      <x:c r="AB78" s="171"/>
      <x:c r="AC78" s="171"/>
      <x:c r="AD78" s="171"/>
      <x:c r="AE78" s="171"/>
      <x:c r="AF78" s="174" t="str">
        <x:f>IF(T78="","",IF(T78="不适用",0,IF(T78="满分档",10,IF(T78="中间档",5,0))))</x:f>
      </x:c>
      <x:c r="AG78" s="174" t="str">
        <x:f>IF(U78="","",IF(U78="不适用",0,IF(U78="满分档",30,IF(U78="中间档",15,0))))</x:f>
      </x:c>
      <x:c r="AH78" s="174" t="str">
        <x:f>IF(W78="","",IF(W78="满分档",25,IF(W78="中间档",15,0)))</x:f>
      </x:c>
      <x:c r="AI78" s="174" t="str">
        <x:f>IF(Y78="","",IF(Y78="满分档",25,IF(Y78="中间档",15,0)))</x:f>
      </x:c>
      <x:c r="AJ78" s="174" t="str">
        <x:f>IF(Z78="","",IF(Z78="不适用",0,IF(Z78="满分档",10,IF(Z78="中间档",5,0))))</x:f>
      </x:c>
      <x:c r="AK78" s="168"/>
      <x:c r="AL78" s="165"/>
      <x:c r="AM78" s="168"/>
      <x:c r="AN78" s="165"/>
      <x:c r="AO78" s="171"/>
      <x:c r="AP78" s="171"/>
      <x:c r="AQ78" s="174" t="str">
        <x:f>IF(M78&lt;&gt;"是","",IF(AL78="","",IF(AL78="突出档",10,IF(AL78="达标档",6,0))))</x:f>
      </x:c>
      <x:c r="AR78" s="174" t="str">
        <x:f>IF(M78&lt;&gt;"是","",IF(AN78="","",IF(AN78="突出档",10,IF(AN78="达标档",6,0))))</x:f>
      </x:c>
      <x:c r="AS78" s="174" t="str">
        <x:f>IF(M78&lt;&gt;"是","",IF(OR(AQ78="",AR78=""),"",SUM(AQ78:AR78)))</x:f>
      </x:c>
      <x:c r="AT78" s="174" t="str">
        <x:f>IF(M78&lt;&gt;"是","",IF(OR(AL78="",AN78=""),"",IF(OR(AL78="0分档",AN78="0分档"),"主席履职待改进",IF(AND(AL78="突出档",AN78="突出档"),"主席履职突出","主席履职合格"))))</x:f>
      </x:c>
      <x:c r="AU78" s="174" t="str">
        <x:f>IF(OR(T78="",U78="",W78="",Y78="",Z78=""),"",IF(T78="不适用",0,10)+IF(U78="不适用",0,30)+25+25+IF(Z78="不适用",0,10))</x:f>
      </x:c>
      <x:c r="AV78" s="174" t="str">
        <x:f>IF(AU78="","",SUM(AF78:AJ78))</x:f>
      </x:c>
      <x:c r="AW78" s="186" t="str">
        <x:f>IF(AU78="","",ROUND(AV78/AU78*100,1))</x:f>
      </x:c>
      <x:c r="AX78" s="174" t="str">
        <x:f>IF(OR(AH78="",AI78=""),"",AH78+AI78)</x:f>
      </x:c>
      <x:c r="AY78" s="174" t="str">
        <x:f>IF(AX78="","",IF(AX78&lt;30,"未达标","达到门槛"))</x:f>
      </x:c>
      <x:c r="AZ78" s="174" t="str">
        <x:f>IF(A78="","",IF(OR(O78="仅挂会无有效参与",O78="缺席"),"是","否"))</x:f>
      </x:c>
      <x:c r="BA78" s="186" t="str">
        <x:f>IF(A78="","",IF(AZ78="是",0,AW78))</x:f>
      </x:c>
      <x:c r="BB78" s="174"/>
      <x:c r="BC78" s="186"/>
      <x:c r="BD78" s="186" t="str">
        <x:f>IF(A78="","",BA78)</x:f>
      </x:c>
      <x:c r="BE78" s="161"/>
      <x:c r="BF78" s="161"/>
      <x:c r="BG78" s="161"/>
      <x:c r="BH78" s="180"/>
      <x:c r="BI78" s="183"/>
    </x:row>
    <x:row r="79" ht="32" customHeight="1">
      <x:c r="A79" s="160"/>
      <x:c r="B79" s="161"/>
      <x:c r="C79" s="161"/>
      <x:c r="D79" s="161"/>
      <x:c r="E79" s="161"/>
      <x:c r="F79" s="180"/>
      <x:c r="G79" s="161" t="str">
        <x:f>IF(F79="","","H"&amp;IF(MONTH(F79)&lt;=6,1,2))</x:f>
      </x:c>
      <x:c r="H79" s="161"/>
      <x:c r="I79" s="161"/>
      <x:c r="J79" s="161"/>
      <x:c r="K79" s="161"/>
      <x:c r="L79" s="161"/>
      <x:c r="M79" s="161"/>
      <x:c r="N79" s="161"/>
      <x:c r="O79" s="161"/>
      <x:c r="P79" s="161"/>
      <x:c r="Q79" s="161"/>
      <x:c r="R79" s="161"/>
      <x:c r="S79" s="161"/>
      <x:c r="T79" s="165"/>
      <x:c r="U79" s="165"/>
      <x:c r="V79" s="168"/>
      <x:c r="W79" s="165"/>
      <x:c r="X79" s="168"/>
      <x:c r="Y79" s="165"/>
      <x:c r="Z79" s="165"/>
      <x:c r="AA79" s="171"/>
      <x:c r="AB79" s="171"/>
      <x:c r="AC79" s="171"/>
      <x:c r="AD79" s="171"/>
      <x:c r="AE79" s="171"/>
      <x:c r="AF79" s="174" t="str">
        <x:f>IF(T79="","",IF(T79="不适用",0,IF(T79="满分档",10,IF(T79="中间档",5,0))))</x:f>
      </x:c>
      <x:c r="AG79" s="174" t="str">
        <x:f>IF(U79="","",IF(U79="不适用",0,IF(U79="满分档",30,IF(U79="中间档",15,0))))</x:f>
      </x:c>
      <x:c r="AH79" s="174" t="str">
        <x:f>IF(W79="","",IF(W79="满分档",25,IF(W79="中间档",15,0)))</x:f>
      </x:c>
      <x:c r="AI79" s="174" t="str">
        <x:f>IF(Y79="","",IF(Y79="满分档",25,IF(Y79="中间档",15,0)))</x:f>
      </x:c>
      <x:c r="AJ79" s="174" t="str">
        <x:f>IF(Z79="","",IF(Z79="不适用",0,IF(Z79="满分档",10,IF(Z79="中间档",5,0))))</x:f>
      </x:c>
      <x:c r="AK79" s="168"/>
      <x:c r="AL79" s="165"/>
      <x:c r="AM79" s="168"/>
      <x:c r="AN79" s="165"/>
      <x:c r="AO79" s="171"/>
      <x:c r="AP79" s="171"/>
      <x:c r="AQ79" s="174" t="str">
        <x:f>IF(M79&lt;&gt;"是","",IF(AL79="","",IF(AL79="突出档",10,IF(AL79="达标档",6,0))))</x:f>
      </x:c>
      <x:c r="AR79" s="174" t="str">
        <x:f>IF(M79&lt;&gt;"是","",IF(AN79="","",IF(AN79="突出档",10,IF(AN79="达标档",6,0))))</x:f>
      </x:c>
      <x:c r="AS79" s="174" t="str">
        <x:f>IF(M79&lt;&gt;"是","",IF(OR(AQ79="",AR79=""),"",SUM(AQ79:AR79)))</x:f>
      </x:c>
      <x:c r="AT79" s="174" t="str">
        <x:f>IF(M79&lt;&gt;"是","",IF(OR(AL79="",AN79=""),"",IF(OR(AL79="0分档",AN79="0分档"),"主席履职待改进",IF(AND(AL79="突出档",AN79="突出档"),"主席履职突出","主席履职合格"))))</x:f>
      </x:c>
      <x:c r="AU79" s="174" t="str">
        <x:f>IF(OR(T79="",U79="",W79="",Y79="",Z79=""),"",IF(T79="不适用",0,10)+IF(U79="不适用",0,30)+25+25+IF(Z79="不适用",0,10))</x:f>
      </x:c>
      <x:c r="AV79" s="174" t="str">
        <x:f>IF(AU79="","",SUM(AF79:AJ79))</x:f>
      </x:c>
      <x:c r="AW79" s="186" t="str">
        <x:f>IF(AU79="","",ROUND(AV79/AU79*100,1))</x:f>
      </x:c>
      <x:c r="AX79" s="174" t="str">
        <x:f>IF(OR(AH79="",AI79=""),"",AH79+AI79)</x:f>
      </x:c>
      <x:c r="AY79" s="174" t="str">
        <x:f>IF(AX79="","",IF(AX79&lt;30,"未达标","达到门槛"))</x:f>
      </x:c>
      <x:c r="AZ79" s="174" t="str">
        <x:f>IF(A79="","",IF(OR(O79="仅挂会无有效参与",O79="缺席"),"是","否"))</x:f>
      </x:c>
      <x:c r="BA79" s="186" t="str">
        <x:f>IF(A79="","",IF(AZ79="是",0,AW79))</x:f>
      </x:c>
      <x:c r="BB79" s="174"/>
      <x:c r="BC79" s="186"/>
      <x:c r="BD79" s="186" t="str">
        <x:f>IF(A79="","",BA79)</x:f>
      </x:c>
      <x:c r="BE79" s="161"/>
      <x:c r="BF79" s="161"/>
      <x:c r="BG79" s="161"/>
      <x:c r="BH79" s="180"/>
      <x:c r="BI79" s="183"/>
    </x:row>
    <x:row r="80" ht="32" customHeight="1">
      <x:c r="A80" s="160"/>
      <x:c r="B80" s="161"/>
      <x:c r="C80" s="161"/>
      <x:c r="D80" s="161"/>
      <x:c r="E80" s="161"/>
      <x:c r="F80" s="180"/>
      <x:c r="G80" s="161" t="str">
        <x:f>IF(F80="","","H"&amp;IF(MONTH(F80)&lt;=6,1,2))</x:f>
      </x:c>
      <x:c r="H80" s="161"/>
      <x:c r="I80" s="161"/>
      <x:c r="J80" s="161"/>
      <x:c r="K80" s="161"/>
      <x:c r="L80" s="161"/>
      <x:c r="M80" s="161"/>
      <x:c r="N80" s="161"/>
      <x:c r="O80" s="161"/>
      <x:c r="P80" s="161"/>
      <x:c r="Q80" s="161"/>
      <x:c r="R80" s="161"/>
      <x:c r="S80" s="161"/>
      <x:c r="T80" s="165"/>
      <x:c r="U80" s="165"/>
      <x:c r="V80" s="168"/>
      <x:c r="W80" s="165"/>
      <x:c r="X80" s="168"/>
      <x:c r="Y80" s="165"/>
      <x:c r="Z80" s="165"/>
      <x:c r="AA80" s="171"/>
      <x:c r="AB80" s="171"/>
      <x:c r="AC80" s="171"/>
      <x:c r="AD80" s="171"/>
      <x:c r="AE80" s="171"/>
      <x:c r="AF80" s="174" t="str">
        <x:f>IF(T80="","",IF(T80="不适用",0,IF(T80="满分档",10,IF(T80="中间档",5,0))))</x:f>
      </x:c>
      <x:c r="AG80" s="174" t="str">
        <x:f>IF(U80="","",IF(U80="不适用",0,IF(U80="满分档",30,IF(U80="中间档",15,0))))</x:f>
      </x:c>
      <x:c r="AH80" s="174" t="str">
        <x:f>IF(W80="","",IF(W80="满分档",25,IF(W80="中间档",15,0)))</x:f>
      </x:c>
      <x:c r="AI80" s="174" t="str">
        <x:f>IF(Y80="","",IF(Y80="满分档",25,IF(Y80="中间档",15,0)))</x:f>
      </x:c>
      <x:c r="AJ80" s="174" t="str">
        <x:f>IF(Z80="","",IF(Z80="不适用",0,IF(Z80="满分档",10,IF(Z80="中间档",5,0))))</x:f>
      </x:c>
      <x:c r="AK80" s="168"/>
      <x:c r="AL80" s="165"/>
      <x:c r="AM80" s="168"/>
      <x:c r="AN80" s="165"/>
      <x:c r="AO80" s="171"/>
      <x:c r="AP80" s="171"/>
      <x:c r="AQ80" s="174" t="str">
        <x:f>IF(M80&lt;&gt;"是","",IF(AL80="","",IF(AL80="突出档",10,IF(AL80="达标档",6,0))))</x:f>
      </x:c>
      <x:c r="AR80" s="174" t="str">
        <x:f>IF(M80&lt;&gt;"是","",IF(AN80="","",IF(AN80="突出档",10,IF(AN80="达标档",6,0))))</x:f>
      </x:c>
      <x:c r="AS80" s="174" t="str">
        <x:f>IF(M80&lt;&gt;"是","",IF(OR(AQ80="",AR80=""),"",SUM(AQ80:AR80)))</x:f>
      </x:c>
      <x:c r="AT80" s="174" t="str">
        <x:f>IF(M80&lt;&gt;"是","",IF(OR(AL80="",AN80=""),"",IF(OR(AL80="0分档",AN80="0分档"),"主席履职待改进",IF(AND(AL80="突出档",AN80="突出档"),"主席履职突出","主席履职合格"))))</x:f>
      </x:c>
      <x:c r="AU80" s="174" t="str">
        <x:f>IF(OR(T80="",U80="",W80="",Y80="",Z80=""),"",IF(T80="不适用",0,10)+IF(U80="不适用",0,30)+25+25+IF(Z80="不适用",0,10))</x:f>
      </x:c>
      <x:c r="AV80" s="174" t="str">
        <x:f>IF(AU80="","",SUM(AF80:AJ80))</x:f>
      </x:c>
      <x:c r="AW80" s="186" t="str">
        <x:f>IF(AU80="","",ROUND(AV80/AU80*100,1))</x:f>
      </x:c>
      <x:c r="AX80" s="174" t="str">
        <x:f>IF(OR(AH80="",AI80=""),"",AH80+AI80)</x:f>
      </x:c>
      <x:c r="AY80" s="174" t="str">
        <x:f>IF(AX80="","",IF(AX80&lt;30,"未达标","达到门槛"))</x:f>
      </x:c>
      <x:c r="AZ80" s="174" t="str">
        <x:f>IF(A80="","",IF(OR(O80="仅挂会无有效参与",O80="缺席"),"是","否"))</x:f>
      </x:c>
      <x:c r="BA80" s="186" t="str">
        <x:f>IF(A80="","",IF(AZ80="是",0,AW80))</x:f>
      </x:c>
      <x:c r="BB80" s="174"/>
      <x:c r="BC80" s="186"/>
      <x:c r="BD80" s="186" t="str">
        <x:f>IF(A80="","",BA80)</x:f>
      </x:c>
      <x:c r="BE80" s="161"/>
      <x:c r="BF80" s="161"/>
      <x:c r="BG80" s="161"/>
      <x:c r="BH80" s="180"/>
      <x:c r="BI80" s="183"/>
    </x:row>
    <x:row r="81" ht="32" customHeight="1">
      <x:c r="A81" s="160"/>
      <x:c r="B81" s="161"/>
      <x:c r="C81" s="161"/>
      <x:c r="D81" s="161"/>
      <x:c r="E81" s="161"/>
      <x:c r="F81" s="180"/>
      <x:c r="G81" s="161" t="str">
        <x:f>IF(F81="","","H"&amp;IF(MONTH(F81)&lt;=6,1,2))</x:f>
      </x:c>
      <x:c r="H81" s="161"/>
      <x:c r="I81" s="161"/>
      <x:c r="J81" s="161"/>
      <x:c r="K81" s="161"/>
      <x:c r="L81" s="161"/>
      <x:c r="M81" s="161"/>
      <x:c r="N81" s="161"/>
      <x:c r="O81" s="161"/>
      <x:c r="P81" s="161"/>
      <x:c r="Q81" s="161"/>
      <x:c r="R81" s="161"/>
      <x:c r="S81" s="161"/>
      <x:c r="T81" s="165"/>
      <x:c r="U81" s="165"/>
      <x:c r="V81" s="168"/>
      <x:c r="W81" s="165"/>
      <x:c r="X81" s="168"/>
      <x:c r="Y81" s="165"/>
      <x:c r="Z81" s="165"/>
      <x:c r="AA81" s="171"/>
      <x:c r="AB81" s="171"/>
      <x:c r="AC81" s="171"/>
      <x:c r="AD81" s="171"/>
      <x:c r="AE81" s="171"/>
      <x:c r="AF81" s="174" t="str">
        <x:f>IF(T81="","",IF(T81="不适用",0,IF(T81="满分档",10,IF(T81="中间档",5,0))))</x:f>
      </x:c>
      <x:c r="AG81" s="174" t="str">
        <x:f>IF(U81="","",IF(U81="不适用",0,IF(U81="满分档",30,IF(U81="中间档",15,0))))</x:f>
      </x:c>
      <x:c r="AH81" s="174" t="str">
        <x:f>IF(W81="","",IF(W81="满分档",25,IF(W81="中间档",15,0)))</x:f>
      </x:c>
      <x:c r="AI81" s="174" t="str">
        <x:f>IF(Y81="","",IF(Y81="满分档",25,IF(Y81="中间档",15,0)))</x:f>
      </x:c>
      <x:c r="AJ81" s="174" t="str">
        <x:f>IF(Z81="","",IF(Z81="不适用",0,IF(Z81="满分档",10,IF(Z81="中间档",5,0))))</x:f>
      </x:c>
      <x:c r="AK81" s="168"/>
      <x:c r="AL81" s="165"/>
      <x:c r="AM81" s="168"/>
      <x:c r="AN81" s="165"/>
      <x:c r="AO81" s="171"/>
      <x:c r="AP81" s="171"/>
      <x:c r="AQ81" s="174" t="str">
        <x:f>IF(M81&lt;&gt;"是","",IF(AL81="","",IF(AL81="突出档",10,IF(AL81="达标档",6,0))))</x:f>
      </x:c>
      <x:c r="AR81" s="174" t="str">
        <x:f>IF(M81&lt;&gt;"是","",IF(AN81="","",IF(AN81="突出档",10,IF(AN81="达标档",6,0))))</x:f>
      </x:c>
      <x:c r="AS81" s="174" t="str">
        <x:f>IF(M81&lt;&gt;"是","",IF(OR(AQ81="",AR81=""),"",SUM(AQ81:AR81)))</x:f>
      </x:c>
      <x:c r="AT81" s="174" t="str">
        <x:f>IF(M81&lt;&gt;"是","",IF(OR(AL81="",AN81=""),"",IF(OR(AL81="0分档",AN81="0分档"),"主席履职待改进",IF(AND(AL81="突出档",AN81="突出档"),"主席履职突出","主席履职合格"))))</x:f>
      </x:c>
      <x:c r="AU81" s="174" t="str">
        <x:f>IF(OR(T81="",U81="",W81="",Y81="",Z81=""),"",IF(T81="不适用",0,10)+IF(U81="不适用",0,30)+25+25+IF(Z81="不适用",0,10))</x:f>
      </x:c>
      <x:c r="AV81" s="174" t="str">
        <x:f>IF(AU81="","",SUM(AF81:AJ81))</x:f>
      </x:c>
      <x:c r="AW81" s="186" t="str">
        <x:f>IF(AU81="","",ROUND(AV81/AU81*100,1))</x:f>
      </x:c>
      <x:c r="AX81" s="174" t="str">
        <x:f>IF(OR(AH81="",AI81=""),"",AH81+AI81)</x:f>
      </x:c>
      <x:c r="AY81" s="174" t="str">
        <x:f>IF(AX81="","",IF(AX81&lt;30,"未达标","达到门槛"))</x:f>
      </x:c>
      <x:c r="AZ81" s="174" t="str">
        <x:f>IF(A81="","",IF(OR(O81="仅挂会无有效参与",O81="缺席"),"是","否"))</x:f>
      </x:c>
      <x:c r="BA81" s="186" t="str">
        <x:f>IF(A81="","",IF(AZ81="是",0,AW81))</x:f>
      </x:c>
      <x:c r="BB81" s="174"/>
      <x:c r="BC81" s="186"/>
      <x:c r="BD81" s="186" t="str">
        <x:f>IF(A81="","",BA81)</x:f>
      </x:c>
      <x:c r="BE81" s="161"/>
      <x:c r="BF81" s="161"/>
      <x:c r="BG81" s="161"/>
      <x:c r="BH81" s="180"/>
      <x:c r="BI81" s="183"/>
    </x:row>
    <x:row r="82" ht="32" customHeight="1">
      <x:c r="A82" s="160"/>
      <x:c r="B82" s="161"/>
      <x:c r="C82" s="161"/>
      <x:c r="D82" s="161"/>
      <x:c r="E82" s="161"/>
      <x:c r="F82" s="180"/>
      <x:c r="G82" s="161" t="str">
        <x:f>IF(F82="","","H"&amp;IF(MONTH(F82)&lt;=6,1,2))</x:f>
      </x:c>
      <x:c r="H82" s="161"/>
      <x:c r="I82" s="161"/>
      <x:c r="J82" s="161"/>
      <x:c r="K82" s="161"/>
      <x:c r="L82" s="161"/>
      <x:c r="M82" s="161"/>
      <x:c r="N82" s="161"/>
      <x:c r="O82" s="161"/>
      <x:c r="P82" s="161"/>
      <x:c r="Q82" s="161"/>
      <x:c r="R82" s="161"/>
      <x:c r="S82" s="161"/>
      <x:c r="T82" s="165"/>
      <x:c r="U82" s="165"/>
      <x:c r="V82" s="168"/>
      <x:c r="W82" s="165"/>
      <x:c r="X82" s="168"/>
      <x:c r="Y82" s="165"/>
      <x:c r="Z82" s="165"/>
      <x:c r="AA82" s="171"/>
      <x:c r="AB82" s="171"/>
      <x:c r="AC82" s="171"/>
      <x:c r="AD82" s="171"/>
      <x:c r="AE82" s="171"/>
      <x:c r="AF82" s="174" t="str">
        <x:f>IF(T82="","",IF(T82="不适用",0,IF(T82="满分档",10,IF(T82="中间档",5,0))))</x:f>
      </x:c>
      <x:c r="AG82" s="174" t="str">
        <x:f>IF(U82="","",IF(U82="不适用",0,IF(U82="满分档",30,IF(U82="中间档",15,0))))</x:f>
      </x:c>
      <x:c r="AH82" s="174" t="str">
        <x:f>IF(W82="","",IF(W82="满分档",25,IF(W82="中间档",15,0)))</x:f>
      </x:c>
      <x:c r="AI82" s="174" t="str">
        <x:f>IF(Y82="","",IF(Y82="满分档",25,IF(Y82="中间档",15,0)))</x:f>
      </x:c>
      <x:c r="AJ82" s="174" t="str">
        <x:f>IF(Z82="","",IF(Z82="不适用",0,IF(Z82="满分档",10,IF(Z82="中间档",5,0))))</x:f>
      </x:c>
      <x:c r="AK82" s="168"/>
      <x:c r="AL82" s="165"/>
      <x:c r="AM82" s="168"/>
      <x:c r="AN82" s="165"/>
      <x:c r="AO82" s="171"/>
      <x:c r="AP82" s="171"/>
      <x:c r="AQ82" s="174" t="str">
        <x:f>IF(M82&lt;&gt;"是","",IF(AL82="","",IF(AL82="突出档",10,IF(AL82="达标档",6,0))))</x:f>
      </x:c>
      <x:c r="AR82" s="174" t="str">
        <x:f>IF(M82&lt;&gt;"是","",IF(AN82="","",IF(AN82="突出档",10,IF(AN82="达标档",6,0))))</x:f>
      </x:c>
      <x:c r="AS82" s="174" t="str">
        <x:f>IF(M82&lt;&gt;"是","",IF(OR(AQ82="",AR82=""),"",SUM(AQ82:AR82)))</x:f>
      </x:c>
      <x:c r="AT82" s="174" t="str">
        <x:f>IF(M82&lt;&gt;"是","",IF(OR(AL82="",AN82=""),"",IF(OR(AL82="0分档",AN82="0分档"),"主席履职待改进",IF(AND(AL82="突出档",AN82="突出档"),"主席履职突出","主席履职合格"))))</x:f>
      </x:c>
      <x:c r="AU82" s="174" t="str">
        <x:f>IF(OR(T82="",U82="",W82="",Y82="",Z82=""),"",IF(T82="不适用",0,10)+IF(U82="不适用",0,30)+25+25+IF(Z82="不适用",0,10))</x:f>
      </x:c>
      <x:c r="AV82" s="174" t="str">
        <x:f>IF(AU82="","",SUM(AF82:AJ82))</x:f>
      </x:c>
      <x:c r="AW82" s="186" t="str">
        <x:f>IF(AU82="","",ROUND(AV82/AU82*100,1))</x:f>
      </x:c>
      <x:c r="AX82" s="174" t="str">
        <x:f>IF(OR(AH82="",AI82=""),"",AH82+AI82)</x:f>
      </x:c>
      <x:c r="AY82" s="174" t="str">
        <x:f>IF(AX82="","",IF(AX82&lt;30,"未达标","达到门槛"))</x:f>
      </x:c>
      <x:c r="AZ82" s="174" t="str">
        <x:f>IF(A82="","",IF(OR(O82="仅挂会无有效参与",O82="缺席"),"是","否"))</x:f>
      </x:c>
      <x:c r="BA82" s="186" t="str">
        <x:f>IF(A82="","",IF(AZ82="是",0,AW82))</x:f>
      </x:c>
      <x:c r="BB82" s="174"/>
      <x:c r="BC82" s="186"/>
      <x:c r="BD82" s="186" t="str">
        <x:f>IF(A82="","",BA82)</x:f>
      </x:c>
      <x:c r="BE82" s="161"/>
      <x:c r="BF82" s="161"/>
      <x:c r="BG82" s="161"/>
      <x:c r="BH82" s="180"/>
      <x:c r="BI82" s="183"/>
    </x:row>
    <x:row r="83" ht="32" customHeight="1">
      <x:c r="A83" s="160"/>
      <x:c r="B83" s="161"/>
      <x:c r="C83" s="161"/>
      <x:c r="D83" s="161"/>
      <x:c r="E83" s="161"/>
      <x:c r="F83" s="180"/>
      <x:c r="G83" s="161" t="str">
        <x:f>IF(F83="","","H"&amp;IF(MONTH(F83)&lt;=6,1,2))</x:f>
      </x:c>
      <x:c r="H83" s="161"/>
      <x:c r="I83" s="161"/>
      <x:c r="J83" s="161"/>
      <x:c r="K83" s="161"/>
      <x:c r="L83" s="161"/>
      <x:c r="M83" s="161"/>
      <x:c r="N83" s="161"/>
      <x:c r="O83" s="161"/>
      <x:c r="P83" s="161"/>
      <x:c r="Q83" s="161"/>
      <x:c r="R83" s="161"/>
      <x:c r="S83" s="161"/>
      <x:c r="T83" s="165"/>
      <x:c r="U83" s="165"/>
      <x:c r="V83" s="168"/>
      <x:c r="W83" s="165"/>
      <x:c r="X83" s="168"/>
      <x:c r="Y83" s="165"/>
      <x:c r="Z83" s="165"/>
      <x:c r="AA83" s="171"/>
      <x:c r="AB83" s="171"/>
      <x:c r="AC83" s="171"/>
      <x:c r="AD83" s="171"/>
      <x:c r="AE83" s="171"/>
      <x:c r="AF83" s="174" t="str">
        <x:f>IF(T83="","",IF(T83="不适用",0,IF(T83="满分档",10,IF(T83="中间档",5,0))))</x:f>
      </x:c>
      <x:c r="AG83" s="174" t="str">
        <x:f>IF(U83="","",IF(U83="不适用",0,IF(U83="满分档",30,IF(U83="中间档",15,0))))</x:f>
      </x:c>
      <x:c r="AH83" s="174" t="str">
        <x:f>IF(W83="","",IF(W83="满分档",25,IF(W83="中间档",15,0)))</x:f>
      </x:c>
      <x:c r="AI83" s="174" t="str">
        <x:f>IF(Y83="","",IF(Y83="满分档",25,IF(Y83="中间档",15,0)))</x:f>
      </x:c>
      <x:c r="AJ83" s="174" t="str">
        <x:f>IF(Z83="","",IF(Z83="不适用",0,IF(Z83="满分档",10,IF(Z83="中间档",5,0))))</x:f>
      </x:c>
      <x:c r="AK83" s="168"/>
      <x:c r="AL83" s="165"/>
      <x:c r="AM83" s="168"/>
      <x:c r="AN83" s="165"/>
      <x:c r="AO83" s="171"/>
      <x:c r="AP83" s="171"/>
      <x:c r="AQ83" s="174" t="str">
        <x:f>IF(M83&lt;&gt;"是","",IF(AL83="","",IF(AL83="突出档",10,IF(AL83="达标档",6,0))))</x:f>
      </x:c>
      <x:c r="AR83" s="174" t="str">
        <x:f>IF(M83&lt;&gt;"是","",IF(AN83="","",IF(AN83="突出档",10,IF(AN83="达标档",6,0))))</x:f>
      </x:c>
      <x:c r="AS83" s="174" t="str">
        <x:f>IF(M83&lt;&gt;"是","",IF(OR(AQ83="",AR83=""),"",SUM(AQ83:AR83)))</x:f>
      </x:c>
      <x:c r="AT83" s="174" t="str">
        <x:f>IF(M83&lt;&gt;"是","",IF(OR(AL83="",AN83=""),"",IF(OR(AL83="0分档",AN83="0分档"),"主席履职待改进",IF(AND(AL83="突出档",AN83="突出档"),"主席履职突出","主席履职合格"))))</x:f>
      </x:c>
      <x:c r="AU83" s="174" t="str">
        <x:f>IF(OR(T83="",U83="",W83="",Y83="",Z83=""),"",IF(T83="不适用",0,10)+IF(U83="不适用",0,30)+25+25+IF(Z83="不适用",0,10))</x:f>
      </x:c>
      <x:c r="AV83" s="174" t="str">
        <x:f>IF(AU83="","",SUM(AF83:AJ83))</x:f>
      </x:c>
      <x:c r="AW83" s="186" t="str">
        <x:f>IF(AU83="","",ROUND(AV83/AU83*100,1))</x:f>
      </x:c>
      <x:c r="AX83" s="174" t="str">
        <x:f>IF(OR(AH83="",AI83=""),"",AH83+AI83)</x:f>
      </x:c>
      <x:c r="AY83" s="174" t="str">
        <x:f>IF(AX83="","",IF(AX83&lt;30,"未达标","达到门槛"))</x:f>
      </x:c>
      <x:c r="AZ83" s="174" t="str">
        <x:f>IF(A83="","",IF(OR(O83="仅挂会无有效参与",O83="缺席"),"是","否"))</x:f>
      </x:c>
      <x:c r="BA83" s="186" t="str">
        <x:f>IF(A83="","",IF(AZ83="是",0,AW83))</x:f>
      </x:c>
      <x:c r="BB83" s="174"/>
      <x:c r="BC83" s="186"/>
      <x:c r="BD83" s="186" t="str">
        <x:f>IF(A83="","",BA83)</x:f>
      </x:c>
      <x:c r="BE83" s="161"/>
      <x:c r="BF83" s="161"/>
      <x:c r="BG83" s="161"/>
      <x:c r="BH83" s="180"/>
      <x:c r="BI83" s="183"/>
    </x:row>
    <x:row r="84" ht="32" customHeight="1">
      <x:c r="A84" s="160"/>
      <x:c r="B84" s="161"/>
      <x:c r="C84" s="161"/>
      <x:c r="D84" s="161"/>
      <x:c r="E84" s="161"/>
      <x:c r="F84" s="180"/>
      <x:c r="G84" s="161" t="str">
        <x:f>IF(F84="","","H"&amp;IF(MONTH(F84)&lt;=6,1,2))</x:f>
      </x:c>
      <x:c r="H84" s="161"/>
      <x:c r="I84" s="161"/>
      <x:c r="J84" s="161"/>
      <x:c r="K84" s="161"/>
      <x:c r="L84" s="161"/>
      <x:c r="M84" s="161"/>
      <x:c r="N84" s="161"/>
      <x:c r="O84" s="161"/>
      <x:c r="P84" s="161"/>
      <x:c r="Q84" s="161"/>
      <x:c r="R84" s="161"/>
      <x:c r="S84" s="161"/>
      <x:c r="T84" s="165"/>
      <x:c r="U84" s="165"/>
      <x:c r="V84" s="168"/>
      <x:c r="W84" s="165"/>
      <x:c r="X84" s="168"/>
      <x:c r="Y84" s="165"/>
      <x:c r="Z84" s="165"/>
      <x:c r="AA84" s="171"/>
      <x:c r="AB84" s="171"/>
      <x:c r="AC84" s="171"/>
      <x:c r="AD84" s="171"/>
      <x:c r="AE84" s="171"/>
      <x:c r="AF84" s="174" t="str">
        <x:f>IF(T84="","",IF(T84="不适用",0,IF(T84="满分档",10,IF(T84="中间档",5,0))))</x:f>
      </x:c>
      <x:c r="AG84" s="174" t="str">
        <x:f>IF(U84="","",IF(U84="不适用",0,IF(U84="满分档",30,IF(U84="中间档",15,0))))</x:f>
      </x:c>
      <x:c r="AH84" s="174" t="str">
        <x:f>IF(W84="","",IF(W84="满分档",25,IF(W84="中间档",15,0)))</x:f>
      </x:c>
      <x:c r="AI84" s="174" t="str">
        <x:f>IF(Y84="","",IF(Y84="满分档",25,IF(Y84="中间档",15,0)))</x:f>
      </x:c>
      <x:c r="AJ84" s="174" t="str">
        <x:f>IF(Z84="","",IF(Z84="不适用",0,IF(Z84="满分档",10,IF(Z84="中间档",5,0))))</x:f>
      </x:c>
      <x:c r="AK84" s="168"/>
      <x:c r="AL84" s="165"/>
      <x:c r="AM84" s="168"/>
      <x:c r="AN84" s="165"/>
      <x:c r="AO84" s="171"/>
      <x:c r="AP84" s="171"/>
      <x:c r="AQ84" s="174" t="str">
        <x:f>IF(M84&lt;&gt;"是","",IF(AL84="","",IF(AL84="突出档",10,IF(AL84="达标档",6,0))))</x:f>
      </x:c>
      <x:c r="AR84" s="174" t="str">
        <x:f>IF(M84&lt;&gt;"是","",IF(AN84="","",IF(AN84="突出档",10,IF(AN84="达标档",6,0))))</x:f>
      </x:c>
      <x:c r="AS84" s="174" t="str">
        <x:f>IF(M84&lt;&gt;"是","",IF(OR(AQ84="",AR84=""),"",SUM(AQ84:AR84)))</x:f>
      </x:c>
      <x:c r="AT84" s="174" t="str">
        <x:f>IF(M84&lt;&gt;"是","",IF(OR(AL84="",AN84=""),"",IF(OR(AL84="0分档",AN84="0分档"),"主席履职待改进",IF(AND(AL84="突出档",AN84="突出档"),"主席履职突出","主席履职合格"))))</x:f>
      </x:c>
      <x:c r="AU84" s="174" t="str">
        <x:f>IF(OR(T84="",U84="",W84="",Y84="",Z84=""),"",IF(T84="不适用",0,10)+IF(U84="不适用",0,30)+25+25+IF(Z84="不适用",0,10))</x:f>
      </x:c>
      <x:c r="AV84" s="174" t="str">
        <x:f>IF(AU84="","",SUM(AF84:AJ84))</x:f>
      </x:c>
      <x:c r="AW84" s="186" t="str">
        <x:f>IF(AU84="","",ROUND(AV84/AU84*100,1))</x:f>
      </x:c>
      <x:c r="AX84" s="174" t="str">
        <x:f>IF(OR(AH84="",AI84=""),"",AH84+AI84)</x:f>
      </x:c>
      <x:c r="AY84" s="174" t="str">
        <x:f>IF(AX84="","",IF(AX84&lt;30,"未达标","达到门槛"))</x:f>
      </x:c>
      <x:c r="AZ84" s="174" t="str">
        <x:f>IF(A84="","",IF(OR(O84="仅挂会无有效参与",O84="缺席"),"是","否"))</x:f>
      </x:c>
      <x:c r="BA84" s="186" t="str">
        <x:f>IF(A84="","",IF(AZ84="是",0,AW84))</x:f>
      </x:c>
      <x:c r="BB84" s="174"/>
      <x:c r="BC84" s="186"/>
      <x:c r="BD84" s="186" t="str">
        <x:f>IF(A84="","",BA84)</x:f>
      </x:c>
      <x:c r="BE84" s="161"/>
      <x:c r="BF84" s="161"/>
      <x:c r="BG84" s="161"/>
      <x:c r="BH84" s="180"/>
      <x:c r="BI84" s="183"/>
    </x:row>
    <x:row r="85" ht="32" customHeight="1">
      <x:c r="A85" s="160"/>
      <x:c r="B85" s="161"/>
      <x:c r="C85" s="161"/>
      <x:c r="D85" s="161"/>
      <x:c r="E85" s="161"/>
      <x:c r="F85" s="180"/>
      <x:c r="G85" s="161" t="str">
        <x:f>IF(F85="","","H"&amp;IF(MONTH(F85)&lt;=6,1,2))</x:f>
      </x:c>
      <x:c r="H85" s="161"/>
      <x:c r="I85" s="161"/>
      <x:c r="J85" s="161"/>
      <x:c r="K85" s="161"/>
      <x:c r="L85" s="161"/>
      <x:c r="M85" s="161"/>
      <x:c r="N85" s="161"/>
      <x:c r="O85" s="161"/>
      <x:c r="P85" s="161"/>
      <x:c r="Q85" s="161"/>
      <x:c r="R85" s="161"/>
      <x:c r="S85" s="161"/>
      <x:c r="T85" s="165"/>
      <x:c r="U85" s="165"/>
      <x:c r="V85" s="168"/>
      <x:c r="W85" s="165"/>
      <x:c r="X85" s="168"/>
      <x:c r="Y85" s="165"/>
      <x:c r="Z85" s="165"/>
      <x:c r="AA85" s="171"/>
      <x:c r="AB85" s="171"/>
      <x:c r="AC85" s="171"/>
      <x:c r="AD85" s="171"/>
      <x:c r="AE85" s="171"/>
      <x:c r="AF85" s="174" t="str">
        <x:f>IF(T85="","",IF(T85="不适用",0,IF(T85="满分档",10,IF(T85="中间档",5,0))))</x:f>
      </x:c>
      <x:c r="AG85" s="174" t="str">
        <x:f>IF(U85="","",IF(U85="不适用",0,IF(U85="满分档",30,IF(U85="中间档",15,0))))</x:f>
      </x:c>
      <x:c r="AH85" s="174" t="str">
        <x:f>IF(W85="","",IF(W85="满分档",25,IF(W85="中间档",15,0)))</x:f>
      </x:c>
      <x:c r="AI85" s="174" t="str">
        <x:f>IF(Y85="","",IF(Y85="满分档",25,IF(Y85="中间档",15,0)))</x:f>
      </x:c>
      <x:c r="AJ85" s="174" t="str">
        <x:f>IF(Z85="","",IF(Z85="不适用",0,IF(Z85="满分档",10,IF(Z85="中间档",5,0))))</x:f>
      </x:c>
      <x:c r="AK85" s="168"/>
      <x:c r="AL85" s="165"/>
      <x:c r="AM85" s="168"/>
      <x:c r="AN85" s="165"/>
      <x:c r="AO85" s="171"/>
      <x:c r="AP85" s="171"/>
      <x:c r="AQ85" s="174" t="str">
        <x:f>IF(M85&lt;&gt;"是","",IF(AL85="","",IF(AL85="突出档",10,IF(AL85="达标档",6,0))))</x:f>
      </x:c>
      <x:c r="AR85" s="174" t="str">
        <x:f>IF(M85&lt;&gt;"是","",IF(AN85="","",IF(AN85="突出档",10,IF(AN85="达标档",6,0))))</x:f>
      </x:c>
      <x:c r="AS85" s="174" t="str">
        <x:f>IF(M85&lt;&gt;"是","",IF(OR(AQ85="",AR85=""),"",SUM(AQ85:AR85)))</x:f>
      </x:c>
      <x:c r="AT85" s="174" t="str">
        <x:f>IF(M85&lt;&gt;"是","",IF(OR(AL85="",AN85=""),"",IF(OR(AL85="0分档",AN85="0分档"),"主席履职待改进",IF(AND(AL85="突出档",AN85="突出档"),"主席履职突出","主席履职合格"))))</x:f>
      </x:c>
      <x:c r="AU85" s="174" t="str">
        <x:f>IF(OR(T85="",U85="",W85="",Y85="",Z85=""),"",IF(T85="不适用",0,10)+IF(U85="不适用",0,30)+25+25+IF(Z85="不适用",0,10))</x:f>
      </x:c>
      <x:c r="AV85" s="174" t="str">
        <x:f>IF(AU85="","",SUM(AF85:AJ85))</x:f>
      </x:c>
      <x:c r="AW85" s="186" t="str">
        <x:f>IF(AU85="","",ROUND(AV85/AU85*100,1))</x:f>
      </x:c>
      <x:c r="AX85" s="174" t="str">
        <x:f>IF(OR(AH85="",AI85=""),"",AH85+AI85)</x:f>
      </x:c>
      <x:c r="AY85" s="174" t="str">
        <x:f>IF(AX85="","",IF(AX85&lt;30,"未达标","达到门槛"))</x:f>
      </x:c>
      <x:c r="AZ85" s="174" t="str">
        <x:f>IF(A85="","",IF(OR(O85="仅挂会无有效参与",O85="缺席"),"是","否"))</x:f>
      </x:c>
      <x:c r="BA85" s="186" t="str">
        <x:f>IF(A85="","",IF(AZ85="是",0,AW85))</x:f>
      </x:c>
      <x:c r="BB85" s="174"/>
      <x:c r="BC85" s="186"/>
      <x:c r="BD85" s="186" t="str">
        <x:f>IF(A85="","",BA85)</x:f>
      </x:c>
      <x:c r="BE85" s="161"/>
      <x:c r="BF85" s="161"/>
      <x:c r="BG85" s="161"/>
      <x:c r="BH85" s="180"/>
      <x:c r="BI85" s="183"/>
    </x:row>
    <x:row r="86" ht="32" customHeight="1">
      <x:c r="A86" s="160"/>
      <x:c r="B86" s="161"/>
      <x:c r="C86" s="161"/>
      <x:c r="D86" s="161"/>
      <x:c r="E86" s="161"/>
      <x:c r="F86" s="180"/>
      <x:c r="G86" s="161" t="str">
        <x:f>IF(F86="","","H"&amp;IF(MONTH(F86)&lt;=6,1,2))</x:f>
      </x:c>
      <x:c r="H86" s="161"/>
      <x:c r="I86" s="161"/>
      <x:c r="J86" s="161"/>
      <x:c r="K86" s="161"/>
      <x:c r="L86" s="161"/>
      <x:c r="M86" s="161"/>
      <x:c r="N86" s="161"/>
      <x:c r="O86" s="161"/>
      <x:c r="P86" s="161"/>
      <x:c r="Q86" s="161"/>
      <x:c r="R86" s="161"/>
      <x:c r="S86" s="161"/>
      <x:c r="T86" s="165"/>
      <x:c r="U86" s="165"/>
      <x:c r="V86" s="168"/>
      <x:c r="W86" s="165"/>
      <x:c r="X86" s="168"/>
      <x:c r="Y86" s="165"/>
      <x:c r="Z86" s="165"/>
      <x:c r="AA86" s="171"/>
      <x:c r="AB86" s="171"/>
      <x:c r="AC86" s="171"/>
      <x:c r="AD86" s="171"/>
      <x:c r="AE86" s="171"/>
      <x:c r="AF86" s="174" t="str">
        <x:f>IF(T86="","",IF(T86="不适用",0,IF(T86="满分档",10,IF(T86="中间档",5,0))))</x:f>
      </x:c>
      <x:c r="AG86" s="174" t="str">
        <x:f>IF(U86="","",IF(U86="不适用",0,IF(U86="满分档",30,IF(U86="中间档",15,0))))</x:f>
      </x:c>
      <x:c r="AH86" s="174" t="str">
        <x:f>IF(W86="","",IF(W86="满分档",25,IF(W86="中间档",15,0)))</x:f>
      </x:c>
      <x:c r="AI86" s="174" t="str">
        <x:f>IF(Y86="","",IF(Y86="满分档",25,IF(Y86="中间档",15,0)))</x:f>
      </x:c>
      <x:c r="AJ86" s="174" t="str">
        <x:f>IF(Z86="","",IF(Z86="不适用",0,IF(Z86="满分档",10,IF(Z86="中间档",5,0))))</x:f>
      </x:c>
      <x:c r="AK86" s="168"/>
      <x:c r="AL86" s="165"/>
      <x:c r="AM86" s="168"/>
      <x:c r="AN86" s="165"/>
      <x:c r="AO86" s="171"/>
      <x:c r="AP86" s="171"/>
      <x:c r="AQ86" s="174" t="str">
        <x:f>IF(M86&lt;&gt;"是","",IF(AL86="","",IF(AL86="突出档",10,IF(AL86="达标档",6,0))))</x:f>
      </x:c>
      <x:c r="AR86" s="174" t="str">
        <x:f>IF(M86&lt;&gt;"是","",IF(AN86="","",IF(AN86="突出档",10,IF(AN86="达标档",6,0))))</x:f>
      </x:c>
      <x:c r="AS86" s="174" t="str">
        <x:f>IF(M86&lt;&gt;"是","",IF(OR(AQ86="",AR86=""),"",SUM(AQ86:AR86)))</x:f>
      </x:c>
      <x:c r="AT86" s="174" t="str">
        <x:f>IF(M86&lt;&gt;"是","",IF(OR(AL86="",AN86=""),"",IF(OR(AL86="0分档",AN86="0分档"),"主席履职待改进",IF(AND(AL86="突出档",AN86="突出档"),"主席履职突出","主席履职合格"))))</x:f>
      </x:c>
      <x:c r="AU86" s="174" t="str">
        <x:f>IF(OR(T86="",U86="",W86="",Y86="",Z86=""),"",IF(T86="不适用",0,10)+IF(U86="不适用",0,30)+25+25+IF(Z86="不适用",0,10))</x:f>
      </x:c>
      <x:c r="AV86" s="174" t="str">
        <x:f>IF(AU86="","",SUM(AF86:AJ86))</x:f>
      </x:c>
      <x:c r="AW86" s="186" t="str">
        <x:f>IF(AU86="","",ROUND(AV86/AU86*100,1))</x:f>
      </x:c>
      <x:c r="AX86" s="174" t="str">
        <x:f>IF(OR(AH86="",AI86=""),"",AH86+AI86)</x:f>
      </x:c>
      <x:c r="AY86" s="174" t="str">
        <x:f>IF(AX86="","",IF(AX86&lt;30,"未达标","达到门槛"))</x:f>
      </x:c>
      <x:c r="AZ86" s="174" t="str">
        <x:f>IF(A86="","",IF(OR(O86="仅挂会无有效参与",O86="缺席"),"是","否"))</x:f>
      </x:c>
      <x:c r="BA86" s="186" t="str">
        <x:f>IF(A86="","",IF(AZ86="是",0,AW86))</x:f>
      </x:c>
      <x:c r="BB86" s="174"/>
      <x:c r="BC86" s="186"/>
      <x:c r="BD86" s="186" t="str">
        <x:f>IF(A86="","",BA86)</x:f>
      </x:c>
      <x:c r="BE86" s="161"/>
      <x:c r="BF86" s="161"/>
      <x:c r="BG86" s="161"/>
      <x:c r="BH86" s="180"/>
      <x:c r="BI86" s="183"/>
    </x:row>
    <x:row r="87" ht="32" customHeight="1">
      <x:c r="A87" s="160"/>
      <x:c r="B87" s="161"/>
      <x:c r="C87" s="161"/>
      <x:c r="D87" s="161"/>
      <x:c r="E87" s="161"/>
      <x:c r="F87" s="180"/>
      <x:c r="G87" s="161" t="str">
        <x:f>IF(F87="","","H"&amp;IF(MONTH(F87)&lt;=6,1,2))</x:f>
      </x:c>
      <x:c r="H87" s="161"/>
      <x:c r="I87" s="161"/>
      <x:c r="J87" s="161"/>
      <x:c r="K87" s="161"/>
      <x:c r="L87" s="161"/>
      <x:c r="M87" s="161"/>
      <x:c r="N87" s="161"/>
      <x:c r="O87" s="161"/>
      <x:c r="P87" s="161"/>
      <x:c r="Q87" s="161"/>
      <x:c r="R87" s="161"/>
      <x:c r="S87" s="161"/>
      <x:c r="T87" s="165"/>
      <x:c r="U87" s="165"/>
      <x:c r="V87" s="168"/>
      <x:c r="W87" s="165"/>
      <x:c r="X87" s="168"/>
      <x:c r="Y87" s="165"/>
      <x:c r="Z87" s="165"/>
      <x:c r="AA87" s="171"/>
      <x:c r="AB87" s="171"/>
      <x:c r="AC87" s="171"/>
      <x:c r="AD87" s="171"/>
      <x:c r="AE87" s="171"/>
      <x:c r="AF87" s="174" t="str">
        <x:f>IF(T87="","",IF(T87="不适用",0,IF(T87="满分档",10,IF(T87="中间档",5,0))))</x:f>
      </x:c>
      <x:c r="AG87" s="174" t="str">
        <x:f>IF(U87="","",IF(U87="不适用",0,IF(U87="满分档",30,IF(U87="中间档",15,0))))</x:f>
      </x:c>
      <x:c r="AH87" s="174" t="str">
        <x:f>IF(W87="","",IF(W87="满分档",25,IF(W87="中间档",15,0)))</x:f>
      </x:c>
      <x:c r="AI87" s="174" t="str">
        <x:f>IF(Y87="","",IF(Y87="满分档",25,IF(Y87="中间档",15,0)))</x:f>
      </x:c>
      <x:c r="AJ87" s="174" t="str">
        <x:f>IF(Z87="","",IF(Z87="不适用",0,IF(Z87="满分档",10,IF(Z87="中间档",5,0))))</x:f>
      </x:c>
      <x:c r="AK87" s="168"/>
      <x:c r="AL87" s="165"/>
      <x:c r="AM87" s="168"/>
      <x:c r="AN87" s="165"/>
      <x:c r="AO87" s="171"/>
      <x:c r="AP87" s="171"/>
      <x:c r="AQ87" s="174" t="str">
        <x:f>IF(M87&lt;&gt;"是","",IF(AL87="","",IF(AL87="突出档",10,IF(AL87="达标档",6,0))))</x:f>
      </x:c>
      <x:c r="AR87" s="174" t="str">
        <x:f>IF(M87&lt;&gt;"是","",IF(AN87="","",IF(AN87="突出档",10,IF(AN87="达标档",6,0))))</x:f>
      </x:c>
      <x:c r="AS87" s="174" t="str">
        <x:f>IF(M87&lt;&gt;"是","",IF(OR(AQ87="",AR87=""),"",SUM(AQ87:AR87)))</x:f>
      </x:c>
      <x:c r="AT87" s="174" t="str">
        <x:f>IF(M87&lt;&gt;"是","",IF(OR(AL87="",AN87=""),"",IF(OR(AL87="0分档",AN87="0分档"),"主席履职待改进",IF(AND(AL87="突出档",AN87="突出档"),"主席履职突出","主席履职合格"))))</x:f>
      </x:c>
      <x:c r="AU87" s="174" t="str">
        <x:f>IF(OR(T87="",U87="",W87="",Y87="",Z87=""),"",IF(T87="不适用",0,10)+IF(U87="不适用",0,30)+25+25+IF(Z87="不适用",0,10))</x:f>
      </x:c>
      <x:c r="AV87" s="174" t="str">
        <x:f>IF(AU87="","",SUM(AF87:AJ87))</x:f>
      </x:c>
      <x:c r="AW87" s="186" t="str">
        <x:f>IF(AU87="","",ROUND(AV87/AU87*100,1))</x:f>
      </x:c>
      <x:c r="AX87" s="174" t="str">
        <x:f>IF(OR(AH87="",AI87=""),"",AH87+AI87)</x:f>
      </x:c>
      <x:c r="AY87" s="174" t="str">
        <x:f>IF(AX87="","",IF(AX87&lt;30,"未达标","达到门槛"))</x:f>
      </x:c>
      <x:c r="AZ87" s="174" t="str">
        <x:f>IF(A87="","",IF(OR(O87="仅挂会无有效参与",O87="缺席"),"是","否"))</x:f>
      </x:c>
      <x:c r="BA87" s="186" t="str">
        <x:f>IF(A87="","",IF(AZ87="是",0,AW87))</x:f>
      </x:c>
      <x:c r="BB87" s="174"/>
      <x:c r="BC87" s="186"/>
      <x:c r="BD87" s="186" t="str">
        <x:f>IF(A87="","",BA87)</x:f>
      </x:c>
      <x:c r="BE87" s="161"/>
      <x:c r="BF87" s="161"/>
      <x:c r="BG87" s="161"/>
      <x:c r="BH87" s="180"/>
      <x:c r="BI87" s="183"/>
    </x:row>
    <x:row r="88" ht="32" customHeight="1">
      <x:c r="A88" s="160"/>
      <x:c r="B88" s="161"/>
      <x:c r="C88" s="161"/>
      <x:c r="D88" s="161"/>
      <x:c r="E88" s="161"/>
      <x:c r="F88" s="180"/>
      <x:c r="G88" s="161" t="str">
        <x:f>IF(F88="","","H"&amp;IF(MONTH(F88)&lt;=6,1,2))</x:f>
      </x:c>
      <x:c r="H88" s="161"/>
      <x:c r="I88" s="161"/>
      <x:c r="J88" s="161"/>
      <x:c r="K88" s="161"/>
      <x:c r="L88" s="161"/>
      <x:c r="M88" s="161"/>
      <x:c r="N88" s="161"/>
      <x:c r="O88" s="161"/>
      <x:c r="P88" s="161"/>
      <x:c r="Q88" s="161"/>
      <x:c r="R88" s="161"/>
      <x:c r="S88" s="161"/>
      <x:c r="T88" s="165"/>
      <x:c r="U88" s="165"/>
      <x:c r="V88" s="168"/>
      <x:c r="W88" s="165"/>
      <x:c r="X88" s="168"/>
      <x:c r="Y88" s="165"/>
      <x:c r="Z88" s="165"/>
      <x:c r="AA88" s="171"/>
      <x:c r="AB88" s="171"/>
      <x:c r="AC88" s="171"/>
      <x:c r="AD88" s="171"/>
      <x:c r="AE88" s="171"/>
      <x:c r="AF88" s="174" t="str">
        <x:f>IF(T88="","",IF(T88="不适用",0,IF(T88="满分档",10,IF(T88="中间档",5,0))))</x:f>
      </x:c>
      <x:c r="AG88" s="174" t="str">
        <x:f>IF(U88="","",IF(U88="不适用",0,IF(U88="满分档",30,IF(U88="中间档",15,0))))</x:f>
      </x:c>
      <x:c r="AH88" s="174" t="str">
        <x:f>IF(W88="","",IF(W88="满分档",25,IF(W88="中间档",15,0)))</x:f>
      </x:c>
      <x:c r="AI88" s="174" t="str">
        <x:f>IF(Y88="","",IF(Y88="满分档",25,IF(Y88="中间档",15,0)))</x:f>
      </x:c>
      <x:c r="AJ88" s="174" t="str">
        <x:f>IF(Z88="","",IF(Z88="不适用",0,IF(Z88="满分档",10,IF(Z88="中间档",5,0))))</x:f>
      </x:c>
      <x:c r="AK88" s="168"/>
      <x:c r="AL88" s="165"/>
      <x:c r="AM88" s="168"/>
      <x:c r="AN88" s="165"/>
      <x:c r="AO88" s="171"/>
      <x:c r="AP88" s="171"/>
      <x:c r="AQ88" s="174" t="str">
        <x:f>IF(M88&lt;&gt;"是","",IF(AL88="","",IF(AL88="突出档",10,IF(AL88="达标档",6,0))))</x:f>
      </x:c>
      <x:c r="AR88" s="174" t="str">
        <x:f>IF(M88&lt;&gt;"是","",IF(AN88="","",IF(AN88="突出档",10,IF(AN88="达标档",6,0))))</x:f>
      </x:c>
      <x:c r="AS88" s="174" t="str">
        <x:f>IF(M88&lt;&gt;"是","",IF(OR(AQ88="",AR88=""),"",SUM(AQ88:AR88)))</x:f>
      </x:c>
      <x:c r="AT88" s="174" t="str">
        <x:f>IF(M88&lt;&gt;"是","",IF(OR(AL88="",AN88=""),"",IF(OR(AL88="0分档",AN88="0分档"),"主席履职待改进",IF(AND(AL88="突出档",AN88="突出档"),"主席履职突出","主席履职合格"))))</x:f>
      </x:c>
      <x:c r="AU88" s="174" t="str">
        <x:f>IF(OR(T88="",U88="",W88="",Y88="",Z88=""),"",IF(T88="不适用",0,10)+IF(U88="不适用",0,30)+25+25+IF(Z88="不适用",0,10))</x:f>
      </x:c>
      <x:c r="AV88" s="174" t="str">
        <x:f>IF(AU88="","",SUM(AF88:AJ88))</x:f>
      </x:c>
      <x:c r="AW88" s="186" t="str">
        <x:f>IF(AU88="","",ROUND(AV88/AU88*100,1))</x:f>
      </x:c>
      <x:c r="AX88" s="174" t="str">
        <x:f>IF(OR(AH88="",AI88=""),"",AH88+AI88)</x:f>
      </x:c>
      <x:c r="AY88" s="174" t="str">
        <x:f>IF(AX88="","",IF(AX88&lt;30,"未达标","达到门槛"))</x:f>
      </x:c>
      <x:c r="AZ88" s="174" t="str">
        <x:f>IF(A88="","",IF(OR(O88="仅挂会无有效参与",O88="缺席"),"是","否"))</x:f>
      </x:c>
      <x:c r="BA88" s="186" t="str">
        <x:f>IF(A88="","",IF(AZ88="是",0,AW88))</x:f>
      </x:c>
      <x:c r="BB88" s="174"/>
      <x:c r="BC88" s="186"/>
      <x:c r="BD88" s="186" t="str">
        <x:f>IF(A88="","",BA88)</x:f>
      </x:c>
      <x:c r="BE88" s="161"/>
      <x:c r="BF88" s="161"/>
      <x:c r="BG88" s="161"/>
      <x:c r="BH88" s="180"/>
      <x:c r="BI88" s="183"/>
    </x:row>
    <x:row r="89" ht="32" customHeight="1">
      <x:c r="A89" s="160"/>
      <x:c r="B89" s="161"/>
      <x:c r="C89" s="161"/>
      <x:c r="D89" s="161"/>
      <x:c r="E89" s="161"/>
      <x:c r="F89" s="180"/>
      <x:c r="G89" s="161" t="str">
        <x:f>IF(F89="","","H"&amp;IF(MONTH(F89)&lt;=6,1,2))</x:f>
      </x:c>
      <x:c r="H89" s="161"/>
      <x:c r="I89" s="161"/>
      <x:c r="J89" s="161"/>
      <x:c r="K89" s="161"/>
      <x:c r="L89" s="161"/>
      <x:c r="M89" s="161"/>
      <x:c r="N89" s="161"/>
      <x:c r="O89" s="161"/>
      <x:c r="P89" s="161"/>
      <x:c r="Q89" s="161"/>
      <x:c r="R89" s="161"/>
      <x:c r="S89" s="161"/>
      <x:c r="T89" s="165"/>
      <x:c r="U89" s="165"/>
      <x:c r="V89" s="168"/>
      <x:c r="W89" s="165"/>
      <x:c r="X89" s="168"/>
      <x:c r="Y89" s="165"/>
      <x:c r="Z89" s="165"/>
      <x:c r="AA89" s="171"/>
      <x:c r="AB89" s="171"/>
      <x:c r="AC89" s="171"/>
      <x:c r="AD89" s="171"/>
      <x:c r="AE89" s="171"/>
      <x:c r="AF89" s="174" t="str">
        <x:f>IF(T89="","",IF(T89="不适用",0,IF(T89="满分档",10,IF(T89="中间档",5,0))))</x:f>
      </x:c>
      <x:c r="AG89" s="174" t="str">
        <x:f>IF(U89="","",IF(U89="不适用",0,IF(U89="满分档",30,IF(U89="中间档",15,0))))</x:f>
      </x:c>
      <x:c r="AH89" s="174" t="str">
        <x:f>IF(W89="","",IF(W89="满分档",25,IF(W89="中间档",15,0)))</x:f>
      </x:c>
      <x:c r="AI89" s="174" t="str">
        <x:f>IF(Y89="","",IF(Y89="满分档",25,IF(Y89="中间档",15,0)))</x:f>
      </x:c>
      <x:c r="AJ89" s="174" t="str">
        <x:f>IF(Z89="","",IF(Z89="不适用",0,IF(Z89="满分档",10,IF(Z89="中间档",5,0))))</x:f>
      </x:c>
      <x:c r="AK89" s="168"/>
      <x:c r="AL89" s="165"/>
      <x:c r="AM89" s="168"/>
      <x:c r="AN89" s="165"/>
      <x:c r="AO89" s="171"/>
      <x:c r="AP89" s="171"/>
      <x:c r="AQ89" s="174" t="str">
        <x:f>IF(M89&lt;&gt;"是","",IF(AL89="","",IF(AL89="突出档",10,IF(AL89="达标档",6,0))))</x:f>
      </x:c>
      <x:c r="AR89" s="174" t="str">
        <x:f>IF(M89&lt;&gt;"是","",IF(AN89="","",IF(AN89="突出档",10,IF(AN89="达标档",6,0))))</x:f>
      </x:c>
      <x:c r="AS89" s="174" t="str">
        <x:f>IF(M89&lt;&gt;"是","",IF(OR(AQ89="",AR89=""),"",SUM(AQ89:AR89)))</x:f>
      </x:c>
      <x:c r="AT89" s="174" t="str">
        <x:f>IF(M89&lt;&gt;"是","",IF(OR(AL89="",AN89=""),"",IF(OR(AL89="0分档",AN89="0分档"),"主席履职待改进",IF(AND(AL89="突出档",AN89="突出档"),"主席履职突出","主席履职合格"))))</x:f>
      </x:c>
      <x:c r="AU89" s="174" t="str">
        <x:f>IF(OR(T89="",U89="",W89="",Y89="",Z89=""),"",IF(T89="不适用",0,10)+IF(U89="不适用",0,30)+25+25+IF(Z89="不适用",0,10))</x:f>
      </x:c>
      <x:c r="AV89" s="174" t="str">
        <x:f>IF(AU89="","",SUM(AF89:AJ89))</x:f>
      </x:c>
      <x:c r="AW89" s="186" t="str">
        <x:f>IF(AU89="","",ROUND(AV89/AU89*100,1))</x:f>
      </x:c>
      <x:c r="AX89" s="174" t="str">
        <x:f>IF(OR(AH89="",AI89=""),"",AH89+AI89)</x:f>
      </x:c>
      <x:c r="AY89" s="174" t="str">
        <x:f>IF(AX89="","",IF(AX89&lt;30,"未达标","达到门槛"))</x:f>
      </x:c>
      <x:c r="AZ89" s="174" t="str">
        <x:f>IF(A89="","",IF(OR(O89="仅挂会无有效参与",O89="缺席"),"是","否"))</x:f>
      </x:c>
      <x:c r="BA89" s="186" t="str">
        <x:f>IF(A89="","",IF(AZ89="是",0,AW89))</x:f>
      </x:c>
      <x:c r="BB89" s="174"/>
      <x:c r="BC89" s="186"/>
      <x:c r="BD89" s="186" t="str">
        <x:f>IF(A89="","",BA89)</x:f>
      </x:c>
      <x:c r="BE89" s="161"/>
      <x:c r="BF89" s="161"/>
      <x:c r="BG89" s="161"/>
      <x:c r="BH89" s="180"/>
      <x:c r="BI89" s="183"/>
    </x:row>
    <x:row r="90" ht="32" customHeight="1">
      <x:c r="A90" s="160"/>
      <x:c r="B90" s="161"/>
      <x:c r="C90" s="161"/>
      <x:c r="D90" s="161"/>
      <x:c r="E90" s="161"/>
      <x:c r="F90" s="180"/>
      <x:c r="G90" s="161" t="str">
        <x:f>IF(F90="","","H"&amp;IF(MONTH(F90)&lt;=6,1,2))</x:f>
      </x:c>
      <x:c r="H90" s="161"/>
      <x:c r="I90" s="161"/>
      <x:c r="J90" s="161"/>
      <x:c r="K90" s="161"/>
      <x:c r="L90" s="161"/>
      <x:c r="M90" s="161"/>
      <x:c r="N90" s="161"/>
      <x:c r="O90" s="161"/>
      <x:c r="P90" s="161"/>
      <x:c r="Q90" s="161"/>
      <x:c r="R90" s="161"/>
      <x:c r="S90" s="161"/>
      <x:c r="T90" s="165"/>
      <x:c r="U90" s="165"/>
      <x:c r="V90" s="168"/>
      <x:c r="W90" s="165"/>
      <x:c r="X90" s="168"/>
      <x:c r="Y90" s="165"/>
      <x:c r="Z90" s="165"/>
      <x:c r="AA90" s="171"/>
      <x:c r="AB90" s="171"/>
      <x:c r="AC90" s="171"/>
      <x:c r="AD90" s="171"/>
      <x:c r="AE90" s="171"/>
      <x:c r="AF90" s="174" t="str">
        <x:f>IF(T90="","",IF(T90="不适用",0,IF(T90="满分档",10,IF(T90="中间档",5,0))))</x:f>
      </x:c>
      <x:c r="AG90" s="174" t="str">
        <x:f>IF(U90="","",IF(U90="不适用",0,IF(U90="满分档",30,IF(U90="中间档",15,0))))</x:f>
      </x:c>
      <x:c r="AH90" s="174" t="str">
        <x:f>IF(W90="","",IF(W90="满分档",25,IF(W90="中间档",15,0)))</x:f>
      </x:c>
      <x:c r="AI90" s="174" t="str">
        <x:f>IF(Y90="","",IF(Y90="满分档",25,IF(Y90="中间档",15,0)))</x:f>
      </x:c>
      <x:c r="AJ90" s="174" t="str">
        <x:f>IF(Z90="","",IF(Z90="不适用",0,IF(Z90="满分档",10,IF(Z90="中间档",5,0))))</x:f>
      </x:c>
      <x:c r="AK90" s="168"/>
      <x:c r="AL90" s="165"/>
      <x:c r="AM90" s="168"/>
      <x:c r="AN90" s="165"/>
      <x:c r="AO90" s="171"/>
      <x:c r="AP90" s="171"/>
      <x:c r="AQ90" s="174" t="str">
        <x:f>IF(M90&lt;&gt;"是","",IF(AL90="","",IF(AL90="突出档",10,IF(AL90="达标档",6,0))))</x:f>
      </x:c>
      <x:c r="AR90" s="174" t="str">
        <x:f>IF(M90&lt;&gt;"是","",IF(AN90="","",IF(AN90="突出档",10,IF(AN90="达标档",6,0))))</x:f>
      </x:c>
      <x:c r="AS90" s="174" t="str">
        <x:f>IF(M90&lt;&gt;"是","",IF(OR(AQ90="",AR90=""),"",SUM(AQ90:AR90)))</x:f>
      </x:c>
      <x:c r="AT90" s="174" t="str">
        <x:f>IF(M90&lt;&gt;"是","",IF(OR(AL90="",AN90=""),"",IF(OR(AL90="0分档",AN90="0分档"),"主席履职待改进",IF(AND(AL90="突出档",AN90="突出档"),"主席履职突出","主席履职合格"))))</x:f>
      </x:c>
      <x:c r="AU90" s="174" t="str">
        <x:f>IF(OR(T90="",U90="",W90="",Y90="",Z90=""),"",IF(T90="不适用",0,10)+IF(U90="不适用",0,30)+25+25+IF(Z90="不适用",0,10))</x:f>
      </x:c>
      <x:c r="AV90" s="174" t="str">
        <x:f>IF(AU90="","",SUM(AF90:AJ90))</x:f>
      </x:c>
      <x:c r="AW90" s="186" t="str">
        <x:f>IF(AU90="","",ROUND(AV90/AU90*100,1))</x:f>
      </x:c>
      <x:c r="AX90" s="174" t="str">
        <x:f>IF(OR(AH90="",AI90=""),"",AH90+AI90)</x:f>
      </x:c>
      <x:c r="AY90" s="174" t="str">
        <x:f>IF(AX90="","",IF(AX90&lt;30,"未达标","达到门槛"))</x:f>
      </x:c>
      <x:c r="AZ90" s="174" t="str">
        <x:f>IF(A90="","",IF(OR(O90="仅挂会无有效参与",O90="缺席"),"是","否"))</x:f>
      </x:c>
      <x:c r="BA90" s="186" t="str">
        <x:f>IF(A90="","",IF(AZ90="是",0,AW90))</x:f>
      </x:c>
      <x:c r="BB90" s="174"/>
      <x:c r="BC90" s="186"/>
      <x:c r="BD90" s="186" t="str">
        <x:f>IF(A90="","",BA90)</x:f>
      </x:c>
      <x:c r="BE90" s="161"/>
      <x:c r="BF90" s="161"/>
      <x:c r="BG90" s="161"/>
      <x:c r="BH90" s="180"/>
      <x:c r="BI90" s="183"/>
    </x:row>
    <x:row r="91" ht="32" customHeight="1">
      <x:c r="A91" s="160"/>
      <x:c r="B91" s="161"/>
      <x:c r="C91" s="161"/>
      <x:c r="D91" s="161"/>
      <x:c r="E91" s="161"/>
      <x:c r="F91" s="180"/>
      <x:c r="G91" s="161" t="str">
        <x:f>IF(F91="","","H"&amp;IF(MONTH(F91)&lt;=6,1,2))</x:f>
      </x:c>
      <x:c r="H91" s="161"/>
      <x:c r="I91" s="161"/>
      <x:c r="J91" s="161"/>
      <x:c r="K91" s="161"/>
      <x:c r="L91" s="161"/>
      <x:c r="M91" s="161"/>
      <x:c r="N91" s="161"/>
      <x:c r="O91" s="161"/>
      <x:c r="P91" s="161"/>
      <x:c r="Q91" s="161"/>
      <x:c r="R91" s="161"/>
      <x:c r="S91" s="161"/>
      <x:c r="T91" s="165"/>
      <x:c r="U91" s="165"/>
      <x:c r="V91" s="168"/>
      <x:c r="W91" s="165"/>
      <x:c r="X91" s="168"/>
      <x:c r="Y91" s="165"/>
      <x:c r="Z91" s="165"/>
      <x:c r="AA91" s="171"/>
      <x:c r="AB91" s="171"/>
      <x:c r="AC91" s="171"/>
      <x:c r="AD91" s="171"/>
      <x:c r="AE91" s="171"/>
      <x:c r="AF91" s="174" t="str">
        <x:f>IF(T91="","",IF(T91="不适用",0,IF(T91="满分档",10,IF(T91="中间档",5,0))))</x:f>
      </x:c>
      <x:c r="AG91" s="174" t="str">
        <x:f>IF(U91="","",IF(U91="不适用",0,IF(U91="满分档",30,IF(U91="中间档",15,0))))</x:f>
      </x:c>
      <x:c r="AH91" s="174" t="str">
        <x:f>IF(W91="","",IF(W91="满分档",25,IF(W91="中间档",15,0)))</x:f>
      </x:c>
      <x:c r="AI91" s="174" t="str">
        <x:f>IF(Y91="","",IF(Y91="满分档",25,IF(Y91="中间档",15,0)))</x:f>
      </x:c>
      <x:c r="AJ91" s="174" t="str">
        <x:f>IF(Z91="","",IF(Z91="不适用",0,IF(Z91="满分档",10,IF(Z91="中间档",5,0))))</x:f>
      </x:c>
      <x:c r="AK91" s="168"/>
      <x:c r="AL91" s="165"/>
      <x:c r="AM91" s="168"/>
      <x:c r="AN91" s="165"/>
      <x:c r="AO91" s="171"/>
      <x:c r="AP91" s="171"/>
      <x:c r="AQ91" s="174" t="str">
        <x:f>IF(M91&lt;&gt;"是","",IF(AL91="","",IF(AL91="突出档",10,IF(AL91="达标档",6,0))))</x:f>
      </x:c>
      <x:c r="AR91" s="174" t="str">
        <x:f>IF(M91&lt;&gt;"是","",IF(AN91="","",IF(AN91="突出档",10,IF(AN91="达标档",6,0))))</x:f>
      </x:c>
      <x:c r="AS91" s="174" t="str">
        <x:f>IF(M91&lt;&gt;"是","",IF(OR(AQ91="",AR91=""),"",SUM(AQ91:AR91)))</x:f>
      </x:c>
      <x:c r="AT91" s="174" t="str">
        <x:f>IF(M91&lt;&gt;"是","",IF(OR(AL91="",AN91=""),"",IF(OR(AL91="0分档",AN91="0分档"),"主席履职待改进",IF(AND(AL91="突出档",AN91="突出档"),"主席履职突出","主席履职合格"))))</x:f>
      </x:c>
      <x:c r="AU91" s="174" t="str">
        <x:f>IF(OR(T91="",U91="",W91="",Y91="",Z91=""),"",IF(T91="不适用",0,10)+IF(U91="不适用",0,30)+25+25+IF(Z91="不适用",0,10))</x:f>
      </x:c>
      <x:c r="AV91" s="174" t="str">
        <x:f>IF(AU91="","",SUM(AF91:AJ91))</x:f>
      </x:c>
      <x:c r="AW91" s="186" t="str">
        <x:f>IF(AU91="","",ROUND(AV91/AU91*100,1))</x:f>
      </x:c>
      <x:c r="AX91" s="174" t="str">
        <x:f>IF(OR(AH91="",AI91=""),"",AH91+AI91)</x:f>
      </x:c>
      <x:c r="AY91" s="174" t="str">
        <x:f>IF(AX91="","",IF(AX91&lt;30,"未达标","达到门槛"))</x:f>
      </x:c>
      <x:c r="AZ91" s="174" t="str">
        <x:f>IF(A91="","",IF(OR(O91="仅挂会无有效参与",O91="缺席"),"是","否"))</x:f>
      </x:c>
      <x:c r="BA91" s="186" t="str">
        <x:f>IF(A91="","",IF(AZ91="是",0,AW91))</x:f>
      </x:c>
      <x:c r="BB91" s="174"/>
      <x:c r="BC91" s="186"/>
      <x:c r="BD91" s="186" t="str">
        <x:f>IF(A91="","",BA91)</x:f>
      </x:c>
      <x:c r="BE91" s="161"/>
      <x:c r="BF91" s="161"/>
      <x:c r="BG91" s="161"/>
      <x:c r="BH91" s="180"/>
      <x:c r="BI91" s="183"/>
    </x:row>
    <x:row r="92" ht="32" customHeight="1">
      <x:c r="A92" s="160"/>
      <x:c r="B92" s="161"/>
      <x:c r="C92" s="161"/>
      <x:c r="D92" s="161"/>
      <x:c r="E92" s="161"/>
      <x:c r="F92" s="180"/>
      <x:c r="G92" s="161" t="str">
        <x:f>IF(F92="","","H"&amp;IF(MONTH(F92)&lt;=6,1,2))</x:f>
      </x:c>
      <x:c r="H92" s="161"/>
      <x:c r="I92" s="161"/>
      <x:c r="J92" s="161"/>
      <x:c r="K92" s="161"/>
      <x:c r="L92" s="161"/>
      <x:c r="M92" s="161"/>
      <x:c r="N92" s="161"/>
      <x:c r="O92" s="161"/>
      <x:c r="P92" s="161"/>
      <x:c r="Q92" s="161"/>
      <x:c r="R92" s="161"/>
      <x:c r="S92" s="161"/>
      <x:c r="T92" s="165"/>
      <x:c r="U92" s="165"/>
      <x:c r="V92" s="168"/>
      <x:c r="W92" s="165"/>
      <x:c r="X92" s="168"/>
      <x:c r="Y92" s="165"/>
      <x:c r="Z92" s="165"/>
      <x:c r="AA92" s="171"/>
      <x:c r="AB92" s="171"/>
      <x:c r="AC92" s="171"/>
      <x:c r="AD92" s="171"/>
      <x:c r="AE92" s="171"/>
      <x:c r="AF92" s="174" t="str">
        <x:f>IF(T92="","",IF(T92="不适用",0,IF(T92="满分档",10,IF(T92="中间档",5,0))))</x:f>
      </x:c>
      <x:c r="AG92" s="174" t="str">
        <x:f>IF(U92="","",IF(U92="不适用",0,IF(U92="满分档",30,IF(U92="中间档",15,0))))</x:f>
      </x:c>
      <x:c r="AH92" s="174" t="str">
        <x:f>IF(W92="","",IF(W92="满分档",25,IF(W92="中间档",15,0)))</x:f>
      </x:c>
      <x:c r="AI92" s="174" t="str">
        <x:f>IF(Y92="","",IF(Y92="满分档",25,IF(Y92="中间档",15,0)))</x:f>
      </x:c>
      <x:c r="AJ92" s="174" t="str">
        <x:f>IF(Z92="","",IF(Z92="不适用",0,IF(Z92="满分档",10,IF(Z92="中间档",5,0))))</x:f>
      </x:c>
      <x:c r="AK92" s="168"/>
      <x:c r="AL92" s="165"/>
      <x:c r="AM92" s="168"/>
      <x:c r="AN92" s="165"/>
      <x:c r="AO92" s="171"/>
      <x:c r="AP92" s="171"/>
      <x:c r="AQ92" s="174" t="str">
        <x:f>IF(M92&lt;&gt;"是","",IF(AL92="","",IF(AL92="突出档",10,IF(AL92="达标档",6,0))))</x:f>
      </x:c>
      <x:c r="AR92" s="174" t="str">
        <x:f>IF(M92&lt;&gt;"是","",IF(AN92="","",IF(AN92="突出档",10,IF(AN92="达标档",6,0))))</x:f>
      </x:c>
      <x:c r="AS92" s="174" t="str">
        <x:f>IF(M92&lt;&gt;"是","",IF(OR(AQ92="",AR92=""),"",SUM(AQ92:AR92)))</x:f>
      </x:c>
      <x:c r="AT92" s="174" t="str">
        <x:f>IF(M92&lt;&gt;"是","",IF(OR(AL92="",AN92=""),"",IF(OR(AL92="0分档",AN92="0分档"),"主席履职待改进",IF(AND(AL92="突出档",AN92="突出档"),"主席履职突出","主席履职合格"))))</x:f>
      </x:c>
      <x:c r="AU92" s="174" t="str">
        <x:f>IF(OR(T92="",U92="",W92="",Y92="",Z92=""),"",IF(T92="不适用",0,10)+IF(U92="不适用",0,30)+25+25+IF(Z92="不适用",0,10))</x:f>
      </x:c>
      <x:c r="AV92" s="174" t="str">
        <x:f>IF(AU92="","",SUM(AF92:AJ92))</x:f>
      </x:c>
      <x:c r="AW92" s="186" t="str">
        <x:f>IF(AU92="","",ROUND(AV92/AU92*100,1))</x:f>
      </x:c>
      <x:c r="AX92" s="174" t="str">
        <x:f>IF(OR(AH92="",AI92=""),"",AH92+AI92)</x:f>
      </x:c>
      <x:c r="AY92" s="174" t="str">
        <x:f>IF(AX92="","",IF(AX92&lt;30,"未达标","达到门槛"))</x:f>
      </x:c>
      <x:c r="AZ92" s="174" t="str">
        <x:f>IF(A92="","",IF(OR(O92="仅挂会无有效参与",O92="缺席"),"是","否"))</x:f>
      </x:c>
      <x:c r="BA92" s="186" t="str">
        <x:f>IF(A92="","",IF(AZ92="是",0,AW92))</x:f>
      </x:c>
      <x:c r="BB92" s="174"/>
      <x:c r="BC92" s="186"/>
      <x:c r="BD92" s="186" t="str">
        <x:f>IF(A92="","",BA92)</x:f>
      </x:c>
      <x:c r="BE92" s="161"/>
      <x:c r="BF92" s="161"/>
      <x:c r="BG92" s="161"/>
      <x:c r="BH92" s="180"/>
      <x:c r="BI92" s="183"/>
    </x:row>
    <x:row r="93" ht="32" customHeight="1">
      <x:c r="A93" s="160"/>
      <x:c r="B93" s="161"/>
      <x:c r="C93" s="161"/>
      <x:c r="D93" s="161"/>
      <x:c r="E93" s="161"/>
      <x:c r="F93" s="180"/>
      <x:c r="G93" s="161" t="str">
        <x:f>IF(F93="","","H"&amp;IF(MONTH(F93)&lt;=6,1,2))</x:f>
      </x:c>
      <x:c r="H93" s="161"/>
      <x:c r="I93" s="161"/>
      <x:c r="J93" s="161"/>
      <x:c r="K93" s="161"/>
      <x:c r="L93" s="161"/>
      <x:c r="M93" s="161"/>
      <x:c r="N93" s="161"/>
      <x:c r="O93" s="161"/>
      <x:c r="P93" s="161"/>
      <x:c r="Q93" s="161"/>
      <x:c r="R93" s="161"/>
      <x:c r="S93" s="161"/>
      <x:c r="T93" s="165"/>
      <x:c r="U93" s="165"/>
      <x:c r="V93" s="168"/>
      <x:c r="W93" s="165"/>
      <x:c r="X93" s="168"/>
      <x:c r="Y93" s="165"/>
      <x:c r="Z93" s="165"/>
      <x:c r="AA93" s="171"/>
      <x:c r="AB93" s="171"/>
      <x:c r="AC93" s="171"/>
      <x:c r="AD93" s="171"/>
      <x:c r="AE93" s="171"/>
      <x:c r="AF93" s="174" t="str">
        <x:f>IF(T93="","",IF(T93="不适用",0,IF(T93="满分档",10,IF(T93="中间档",5,0))))</x:f>
      </x:c>
      <x:c r="AG93" s="174" t="str">
        <x:f>IF(U93="","",IF(U93="不适用",0,IF(U93="满分档",30,IF(U93="中间档",15,0))))</x:f>
      </x:c>
      <x:c r="AH93" s="174" t="str">
        <x:f>IF(W93="","",IF(W93="满分档",25,IF(W93="中间档",15,0)))</x:f>
      </x:c>
      <x:c r="AI93" s="174" t="str">
        <x:f>IF(Y93="","",IF(Y93="满分档",25,IF(Y93="中间档",15,0)))</x:f>
      </x:c>
      <x:c r="AJ93" s="174" t="str">
        <x:f>IF(Z93="","",IF(Z93="不适用",0,IF(Z93="满分档",10,IF(Z93="中间档",5,0))))</x:f>
      </x:c>
      <x:c r="AK93" s="168"/>
      <x:c r="AL93" s="165"/>
      <x:c r="AM93" s="168"/>
      <x:c r="AN93" s="165"/>
      <x:c r="AO93" s="171"/>
      <x:c r="AP93" s="171"/>
      <x:c r="AQ93" s="174" t="str">
        <x:f>IF(M93&lt;&gt;"是","",IF(AL93="","",IF(AL93="突出档",10,IF(AL93="达标档",6,0))))</x:f>
      </x:c>
      <x:c r="AR93" s="174" t="str">
        <x:f>IF(M93&lt;&gt;"是","",IF(AN93="","",IF(AN93="突出档",10,IF(AN93="达标档",6,0))))</x:f>
      </x:c>
      <x:c r="AS93" s="174" t="str">
        <x:f>IF(M93&lt;&gt;"是","",IF(OR(AQ93="",AR93=""),"",SUM(AQ93:AR93)))</x:f>
      </x:c>
      <x:c r="AT93" s="174" t="str">
        <x:f>IF(M93&lt;&gt;"是","",IF(OR(AL93="",AN93=""),"",IF(OR(AL93="0分档",AN93="0分档"),"主席履职待改进",IF(AND(AL93="突出档",AN93="突出档"),"主席履职突出","主席履职合格"))))</x:f>
      </x:c>
      <x:c r="AU93" s="174" t="str">
        <x:f>IF(OR(T93="",U93="",W93="",Y93="",Z93=""),"",IF(T93="不适用",0,10)+IF(U93="不适用",0,30)+25+25+IF(Z93="不适用",0,10))</x:f>
      </x:c>
      <x:c r="AV93" s="174" t="str">
        <x:f>IF(AU93="","",SUM(AF93:AJ93))</x:f>
      </x:c>
      <x:c r="AW93" s="186" t="str">
        <x:f>IF(AU93="","",ROUND(AV93/AU93*100,1))</x:f>
      </x:c>
      <x:c r="AX93" s="174" t="str">
        <x:f>IF(OR(AH93="",AI93=""),"",AH93+AI93)</x:f>
      </x:c>
      <x:c r="AY93" s="174" t="str">
        <x:f>IF(AX93="","",IF(AX93&lt;30,"未达标","达到门槛"))</x:f>
      </x:c>
      <x:c r="AZ93" s="174" t="str">
        <x:f>IF(A93="","",IF(OR(O93="仅挂会无有效参与",O93="缺席"),"是","否"))</x:f>
      </x:c>
      <x:c r="BA93" s="186" t="str">
        <x:f>IF(A93="","",IF(AZ93="是",0,AW93))</x:f>
      </x:c>
      <x:c r="BB93" s="174"/>
      <x:c r="BC93" s="186"/>
      <x:c r="BD93" s="186" t="str">
        <x:f>IF(A93="","",BA93)</x:f>
      </x:c>
      <x:c r="BE93" s="161"/>
      <x:c r="BF93" s="161"/>
      <x:c r="BG93" s="161"/>
      <x:c r="BH93" s="180"/>
      <x:c r="BI93" s="183"/>
    </x:row>
    <x:row r="94" ht="32" customHeight="1">
      <x:c r="A94" s="160"/>
      <x:c r="B94" s="161"/>
      <x:c r="C94" s="161"/>
      <x:c r="D94" s="161"/>
      <x:c r="E94" s="161"/>
      <x:c r="F94" s="180"/>
      <x:c r="G94" s="161" t="str">
        <x:f>IF(F94="","","H"&amp;IF(MONTH(F94)&lt;=6,1,2))</x:f>
      </x:c>
      <x:c r="H94" s="161"/>
      <x:c r="I94" s="161"/>
      <x:c r="J94" s="161"/>
      <x:c r="K94" s="161"/>
      <x:c r="L94" s="161"/>
      <x:c r="M94" s="161"/>
      <x:c r="N94" s="161"/>
      <x:c r="O94" s="161"/>
      <x:c r="P94" s="161"/>
      <x:c r="Q94" s="161"/>
      <x:c r="R94" s="161"/>
      <x:c r="S94" s="161"/>
      <x:c r="T94" s="165"/>
      <x:c r="U94" s="165"/>
      <x:c r="V94" s="168"/>
      <x:c r="W94" s="165"/>
      <x:c r="X94" s="168"/>
      <x:c r="Y94" s="165"/>
      <x:c r="Z94" s="165"/>
      <x:c r="AA94" s="171"/>
      <x:c r="AB94" s="171"/>
      <x:c r="AC94" s="171"/>
      <x:c r="AD94" s="171"/>
      <x:c r="AE94" s="171"/>
      <x:c r="AF94" s="174" t="str">
        <x:f>IF(T94="","",IF(T94="不适用",0,IF(T94="满分档",10,IF(T94="中间档",5,0))))</x:f>
      </x:c>
      <x:c r="AG94" s="174" t="str">
        <x:f>IF(U94="","",IF(U94="不适用",0,IF(U94="满分档",30,IF(U94="中间档",15,0))))</x:f>
      </x:c>
      <x:c r="AH94" s="174" t="str">
        <x:f>IF(W94="","",IF(W94="满分档",25,IF(W94="中间档",15,0)))</x:f>
      </x:c>
      <x:c r="AI94" s="174" t="str">
        <x:f>IF(Y94="","",IF(Y94="满分档",25,IF(Y94="中间档",15,0)))</x:f>
      </x:c>
      <x:c r="AJ94" s="174" t="str">
        <x:f>IF(Z94="","",IF(Z94="不适用",0,IF(Z94="满分档",10,IF(Z94="中间档",5,0))))</x:f>
      </x:c>
      <x:c r="AK94" s="168"/>
      <x:c r="AL94" s="165"/>
      <x:c r="AM94" s="168"/>
      <x:c r="AN94" s="165"/>
      <x:c r="AO94" s="171"/>
      <x:c r="AP94" s="171"/>
      <x:c r="AQ94" s="174" t="str">
        <x:f>IF(M94&lt;&gt;"是","",IF(AL94="","",IF(AL94="突出档",10,IF(AL94="达标档",6,0))))</x:f>
      </x:c>
      <x:c r="AR94" s="174" t="str">
        <x:f>IF(M94&lt;&gt;"是","",IF(AN94="","",IF(AN94="突出档",10,IF(AN94="达标档",6,0))))</x:f>
      </x:c>
      <x:c r="AS94" s="174" t="str">
        <x:f>IF(M94&lt;&gt;"是","",IF(OR(AQ94="",AR94=""),"",SUM(AQ94:AR94)))</x:f>
      </x:c>
      <x:c r="AT94" s="174" t="str">
        <x:f>IF(M94&lt;&gt;"是","",IF(OR(AL94="",AN94=""),"",IF(OR(AL94="0分档",AN94="0分档"),"主席履职待改进",IF(AND(AL94="突出档",AN94="突出档"),"主席履职突出","主席履职合格"))))</x:f>
      </x:c>
      <x:c r="AU94" s="174" t="str">
        <x:f>IF(OR(T94="",U94="",W94="",Y94="",Z94=""),"",IF(T94="不适用",0,10)+IF(U94="不适用",0,30)+25+25+IF(Z94="不适用",0,10))</x:f>
      </x:c>
      <x:c r="AV94" s="174" t="str">
        <x:f>IF(AU94="","",SUM(AF94:AJ94))</x:f>
      </x:c>
      <x:c r="AW94" s="186" t="str">
        <x:f>IF(AU94="","",ROUND(AV94/AU94*100,1))</x:f>
      </x:c>
      <x:c r="AX94" s="174" t="str">
        <x:f>IF(OR(AH94="",AI94=""),"",AH94+AI94)</x:f>
      </x:c>
      <x:c r="AY94" s="174" t="str">
        <x:f>IF(AX94="","",IF(AX94&lt;30,"未达标","达到门槛"))</x:f>
      </x:c>
      <x:c r="AZ94" s="174" t="str">
        <x:f>IF(A94="","",IF(OR(O94="仅挂会无有效参与",O94="缺席"),"是","否"))</x:f>
      </x:c>
      <x:c r="BA94" s="186" t="str">
        <x:f>IF(A94="","",IF(AZ94="是",0,AW94))</x:f>
      </x:c>
      <x:c r="BB94" s="174"/>
      <x:c r="BC94" s="186"/>
      <x:c r="BD94" s="186" t="str">
        <x:f>IF(A94="","",BA94)</x:f>
      </x:c>
      <x:c r="BE94" s="161"/>
      <x:c r="BF94" s="161"/>
      <x:c r="BG94" s="161"/>
      <x:c r="BH94" s="180"/>
      <x:c r="BI94" s="183"/>
    </x:row>
    <x:row r="95" ht="32" customHeight="1">
      <x:c r="A95" s="160"/>
      <x:c r="B95" s="161"/>
      <x:c r="C95" s="161"/>
      <x:c r="D95" s="161"/>
      <x:c r="E95" s="161"/>
      <x:c r="F95" s="180"/>
      <x:c r="G95" s="161" t="str">
        <x:f>IF(F95="","","H"&amp;IF(MONTH(F95)&lt;=6,1,2))</x:f>
      </x:c>
      <x:c r="H95" s="161"/>
      <x:c r="I95" s="161"/>
      <x:c r="J95" s="161"/>
      <x:c r="K95" s="161"/>
      <x:c r="L95" s="161"/>
      <x:c r="M95" s="161"/>
      <x:c r="N95" s="161"/>
      <x:c r="O95" s="161"/>
      <x:c r="P95" s="161"/>
      <x:c r="Q95" s="161"/>
      <x:c r="R95" s="161"/>
      <x:c r="S95" s="161"/>
      <x:c r="T95" s="165"/>
      <x:c r="U95" s="165"/>
      <x:c r="V95" s="168"/>
      <x:c r="W95" s="165"/>
      <x:c r="X95" s="168"/>
      <x:c r="Y95" s="165"/>
      <x:c r="Z95" s="165"/>
      <x:c r="AA95" s="171"/>
      <x:c r="AB95" s="171"/>
      <x:c r="AC95" s="171"/>
      <x:c r="AD95" s="171"/>
      <x:c r="AE95" s="171"/>
      <x:c r="AF95" s="174" t="str">
        <x:f>IF(T95="","",IF(T95="不适用",0,IF(T95="满分档",10,IF(T95="中间档",5,0))))</x:f>
      </x:c>
      <x:c r="AG95" s="174" t="str">
        <x:f>IF(U95="","",IF(U95="不适用",0,IF(U95="满分档",30,IF(U95="中间档",15,0))))</x:f>
      </x:c>
      <x:c r="AH95" s="174" t="str">
        <x:f>IF(W95="","",IF(W95="满分档",25,IF(W95="中间档",15,0)))</x:f>
      </x:c>
      <x:c r="AI95" s="174" t="str">
        <x:f>IF(Y95="","",IF(Y95="满分档",25,IF(Y95="中间档",15,0)))</x:f>
      </x:c>
      <x:c r="AJ95" s="174" t="str">
        <x:f>IF(Z95="","",IF(Z95="不适用",0,IF(Z95="满分档",10,IF(Z95="中间档",5,0))))</x:f>
      </x:c>
      <x:c r="AK95" s="168"/>
      <x:c r="AL95" s="165"/>
      <x:c r="AM95" s="168"/>
      <x:c r="AN95" s="165"/>
      <x:c r="AO95" s="171"/>
      <x:c r="AP95" s="171"/>
      <x:c r="AQ95" s="174" t="str">
        <x:f>IF(M95&lt;&gt;"是","",IF(AL95="","",IF(AL95="突出档",10,IF(AL95="达标档",6,0))))</x:f>
      </x:c>
      <x:c r="AR95" s="174" t="str">
        <x:f>IF(M95&lt;&gt;"是","",IF(AN95="","",IF(AN95="突出档",10,IF(AN95="达标档",6,0))))</x:f>
      </x:c>
      <x:c r="AS95" s="174" t="str">
        <x:f>IF(M95&lt;&gt;"是","",IF(OR(AQ95="",AR95=""),"",SUM(AQ95:AR95)))</x:f>
      </x:c>
      <x:c r="AT95" s="174" t="str">
        <x:f>IF(M95&lt;&gt;"是","",IF(OR(AL95="",AN95=""),"",IF(OR(AL95="0分档",AN95="0分档"),"主席履职待改进",IF(AND(AL95="突出档",AN95="突出档"),"主席履职突出","主席履职合格"))))</x:f>
      </x:c>
      <x:c r="AU95" s="174" t="str">
        <x:f>IF(OR(T95="",U95="",W95="",Y95="",Z95=""),"",IF(T95="不适用",0,10)+IF(U95="不适用",0,30)+25+25+IF(Z95="不适用",0,10))</x:f>
      </x:c>
      <x:c r="AV95" s="174" t="str">
        <x:f>IF(AU95="","",SUM(AF95:AJ95))</x:f>
      </x:c>
      <x:c r="AW95" s="186" t="str">
        <x:f>IF(AU95="","",ROUND(AV95/AU95*100,1))</x:f>
      </x:c>
      <x:c r="AX95" s="174" t="str">
        <x:f>IF(OR(AH95="",AI95=""),"",AH95+AI95)</x:f>
      </x:c>
      <x:c r="AY95" s="174" t="str">
        <x:f>IF(AX95="","",IF(AX95&lt;30,"未达标","达到门槛"))</x:f>
      </x:c>
      <x:c r="AZ95" s="174" t="str">
        <x:f>IF(A95="","",IF(OR(O95="仅挂会无有效参与",O95="缺席"),"是","否"))</x:f>
      </x:c>
      <x:c r="BA95" s="186" t="str">
        <x:f>IF(A95="","",IF(AZ95="是",0,AW95))</x:f>
      </x:c>
      <x:c r="BB95" s="174"/>
      <x:c r="BC95" s="186"/>
      <x:c r="BD95" s="186" t="str">
        <x:f>IF(A95="","",BA95)</x:f>
      </x:c>
      <x:c r="BE95" s="161"/>
      <x:c r="BF95" s="161"/>
      <x:c r="BG95" s="161"/>
      <x:c r="BH95" s="180"/>
      <x:c r="BI95" s="183"/>
    </x:row>
    <x:row r="96" ht="32" customHeight="1">
      <x:c r="A96" s="160"/>
      <x:c r="B96" s="161"/>
      <x:c r="C96" s="161"/>
      <x:c r="D96" s="161"/>
      <x:c r="E96" s="161"/>
      <x:c r="F96" s="180"/>
      <x:c r="G96" s="161" t="str">
        <x:f>IF(F96="","","H"&amp;IF(MONTH(F96)&lt;=6,1,2))</x:f>
      </x:c>
      <x:c r="H96" s="161"/>
      <x:c r="I96" s="161"/>
      <x:c r="J96" s="161"/>
      <x:c r="K96" s="161"/>
      <x:c r="L96" s="161"/>
      <x:c r="M96" s="161"/>
      <x:c r="N96" s="161"/>
      <x:c r="O96" s="161"/>
      <x:c r="P96" s="161"/>
      <x:c r="Q96" s="161"/>
      <x:c r="R96" s="161"/>
      <x:c r="S96" s="161"/>
      <x:c r="T96" s="165"/>
      <x:c r="U96" s="165"/>
      <x:c r="V96" s="168"/>
      <x:c r="W96" s="165"/>
      <x:c r="X96" s="168"/>
      <x:c r="Y96" s="165"/>
      <x:c r="Z96" s="165"/>
      <x:c r="AA96" s="171"/>
      <x:c r="AB96" s="171"/>
      <x:c r="AC96" s="171"/>
      <x:c r="AD96" s="171"/>
      <x:c r="AE96" s="171"/>
      <x:c r="AF96" s="174" t="str">
        <x:f>IF(T96="","",IF(T96="不适用",0,IF(T96="满分档",10,IF(T96="中间档",5,0))))</x:f>
      </x:c>
      <x:c r="AG96" s="174" t="str">
        <x:f>IF(U96="","",IF(U96="不适用",0,IF(U96="满分档",30,IF(U96="中间档",15,0))))</x:f>
      </x:c>
      <x:c r="AH96" s="174" t="str">
        <x:f>IF(W96="","",IF(W96="满分档",25,IF(W96="中间档",15,0)))</x:f>
      </x:c>
      <x:c r="AI96" s="174" t="str">
        <x:f>IF(Y96="","",IF(Y96="满分档",25,IF(Y96="中间档",15,0)))</x:f>
      </x:c>
      <x:c r="AJ96" s="174" t="str">
        <x:f>IF(Z96="","",IF(Z96="不适用",0,IF(Z96="满分档",10,IF(Z96="中间档",5,0))))</x:f>
      </x:c>
      <x:c r="AK96" s="168"/>
      <x:c r="AL96" s="165"/>
      <x:c r="AM96" s="168"/>
      <x:c r="AN96" s="165"/>
      <x:c r="AO96" s="171"/>
      <x:c r="AP96" s="171"/>
      <x:c r="AQ96" s="174" t="str">
        <x:f>IF(M96&lt;&gt;"是","",IF(AL96="","",IF(AL96="突出档",10,IF(AL96="达标档",6,0))))</x:f>
      </x:c>
      <x:c r="AR96" s="174" t="str">
        <x:f>IF(M96&lt;&gt;"是","",IF(AN96="","",IF(AN96="突出档",10,IF(AN96="达标档",6,0))))</x:f>
      </x:c>
      <x:c r="AS96" s="174" t="str">
        <x:f>IF(M96&lt;&gt;"是","",IF(OR(AQ96="",AR96=""),"",SUM(AQ96:AR96)))</x:f>
      </x:c>
      <x:c r="AT96" s="174" t="str">
        <x:f>IF(M96&lt;&gt;"是","",IF(OR(AL96="",AN96=""),"",IF(OR(AL96="0分档",AN96="0分档"),"主席履职待改进",IF(AND(AL96="突出档",AN96="突出档"),"主席履职突出","主席履职合格"))))</x:f>
      </x:c>
      <x:c r="AU96" s="174" t="str">
        <x:f>IF(OR(T96="",U96="",W96="",Y96="",Z96=""),"",IF(T96="不适用",0,10)+IF(U96="不适用",0,30)+25+25+IF(Z96="不适用",0,10))</x:f>
      </x:c>
      <x:c r="AV96" s="174" t="str">
        <x:f>IF(AU96="","",SUM(AF96:AJ96))</x:f>
      </x:c>
      <x:c r="AW96" s="186" t="str">
        <x:f>IF(AU96="","",ROUND(AV96/AU96*100,1))</x:f>
      </x:c>
      <x:c r="AX96" s="174" t="str">
        <x:f>IF(OR(AH96="",AI96=""),"",AH96+AI96)</x:f>
      </x:c>
      <x:c r="AY96" s="174" t="str">
        <x:f>IF(AX96="","",IF(AX96&lt;30,"未达标","达到门槛"))</x:f>
      </x:c>
      <x:c r="AZ96" s="174" t="str">
        <x:f>IF(A96="","",IF(OR(O96="仅挂会无有效参与",O96="缺席"),"是","否"))</x:f>
      </x:c>
      <x:c r="BA96" s="186" t="str">
        <x:f>IF(A96="","",IF(AZ96="是",0,AW96))</x:f>
      </x:c>
      <x:c r="BB96" s="174"/>
      <x:c r="BC96" s="186"/>
      <x:c r="BD96" s="186" t="str">
        <x:f>IF(A96="","",BA96)</x:f>
      </x:c>
      <x:c r="BE96" s="161"/>
      <x:c r="BF96" s="161"/>
      <x:c r="BG96" s="161"/>
      <x:c r="BH96" s="180"/>
      <x:c r="BI96" s="183"/>
    </x:row>
    <x:row r="97" ht="32" customHeight="1">
      <x:c r="A97" s="160"/>
      <x:c r="B97" s="161"/>
      <x:c r="C97" s="161"/>
      <x:c r="D97" s="161"/>
      <x:c r="E97" s="161"/>
      <x:c r="F97" s="180"/>
      <x:c r="G97" s="161" t="str">
        <x:f>IF(F97="","","H"&amp;IF(MONTH(F97)&lt;=6,1,2))</x:f>
      </x:c>
      <x:c r="H97" s="161"/>
      <x:c r="I97" s="161"/>
      <x:c r="J97" s="161"/>
      <x:c r="K97" s="161"/>
      <x:c r="L97" s="161"/>
      <x:c r="M97" s="161"/>
      <x:c r="N97" s="161"/>
      <x:c r="O97" s="161"/>
      <x:c r="P97" s="161"/>
      <x:c r="Q97" s="161"/>
      <x:c r="R97" s="161"/>
      <x:c r="S97" s="161"/>
      <x:c r="T97" s="165"/>
      <x:c r="U97" s="165"/>
      <x:c r="V97" s="168"/>
      <x:c r="W97" s="165"/>
      <x:c r="X97" s="168"/>
      <x:c r="Y97" s="165"/>
      <x:c r="Z97" s="165"/>
      <x:c r="AA97" s="171"/>
      <x:c r="AB97" s="171"/>
      <x:c r="AC97" s="171"/>
      <x:c r="AD97" s="171"/>
      <x:c r="AE97" s="171"/>
      <x:c r="AF97" s="174" t="str">
        <x:f>IF(T97="","",IF(T97="不适用",0,IF(T97="满分档",10,IF(T97="中间档",5,0))))</x:f>
      </x:c>
      <x:c r="AG97" s="174" t="str">
        <x:f>IF(U97="","",IF(U97="不适用",0,IF(U97="满分档",30,IF(U97="中间档",15,0))))</x:f>
      </x:c>
      <x:c r="AH97" s="174" t="str">
        <x:f>IF(W97="","",IF(W97="满分档",25,IF(W97="中间档",15,0)))</x:f>
      </x:c>
      <x:c r="AI97" s="174" t="str">
        <x:f>IF(Y97="","",IF(Y97="满分档",25,IF(Y97="中间档",15,0)))</x:f>
      </x:c>
      <x:c r="AJ97" s="174" t="str">
        <x:f>IF(Z97="","",IF(Z97="不适用",0,IF(Z97="满分档",10,IF(Z97="中间档",5,0))))</x:f>
      </x:c>
      <x:c r="AK97" s="168"/>
      <x:c r="AL97" s="165"/>
      <x:c r="AM97" s="168"/>
      <x:c r="AN97" s="165"/>
      <x:c r="AO97" s="171"/>
      <x:c r="AP97" s="171"/>
      <x:c r="AQ97" s="174" t="str">
        <x:f>IF(M97&lt;&gt;"是","",IF(AL97="","",IF(AL97="突出档",10,IF(AL97="达标档",6,0))))</x:f>
      </x:c>
      <x:c r="AR97" s="174" t="str">
        <x:f>IF(M97&lt;&gt;"是","",IF(AN97="","",IF(AN97="突出档",10,IF(AN97="达标档",6,0))))</x:f>
      </x:c>
      <x:c r="AS97" s="174" t="str">
        <x:f>IF(M97&lt;&gt;"是","",IF(OR(AQ97="",AR97=""),"",SUM(AQ97:AR97)))</x:f>
      </x:c>
      <x:c r="AT97" s="174" t="str">
        <x:f>IF(M97&lt;&gt;"是","",IF(OR(AL97="",AN97=""),"",IF(OR(AL97="0分档",AN97="0分档"),"主席履职待改进",IF(AND(AL97="突出档",AN97="突出档"),"主席履职突出","主席履职合格"))))</x:f>
      </x:c>
      <x:c r="AU97" s="174" t="str">
        <x:f>IF(OR(T97="",U97="",W97="",Y97="",Z97=""),"",IF(T97="不适用",0,10)+IF(U97="不适用",0,30)+25+25+IF(Z97="不适用",0,10))</x:f>
      </x:c>
      <x:c r="AV97" s="174" t="str">
        <x:f>IF(AU97="","",SUM(AF97:AJ97))</x:f>
      </x:c>
      <x:c r="AW97" s="186" t="str">
        <x:f>IF(AU97="","",ROUND(AV97/AU97*100,1))</x:f>
      </x:c>
      <x:c r="AX97" s="174" t="str">
        <x:f>IF(OR(AH97="",AI97=""),"",AH97+AI97)</x:f>
      </x:c>
      <x:c r="AY97" s="174" t="str">
        <x:f>IF(AX97="","",IF(AX97&lt;30,"未达标","达到门槛"))</x:f>
      </x:c>
      <x:c r="AZ97" s="174" t="str">
        <x:f>IF(A97="","",IF(OR(O97="仅挂会无有效参与",O97="缺席"),"是","否"))</x:f>
      </x:c>
      <x:c r="BA97" s="186" t="str">
        <x:f>IF(A97="","",IF(AZ97="是",0,AW97))</x:f>
      </x:c>
      <x:c r="BB97" s="174"/>
      <x:c r="BC97" s="186"/>
      <x:c r="BD97" s="186" t="str">
        <x:f>IF(A97="","",BA97)</x:f>
      </x:c>
      <x:c r="BE97" s="161"/>
      <x:c r="BF97" s="161"/>
      <x:c r="BG97" s="161"/>
      <x:c r="BH97" s="180"/>
      <x:c r="BI97" s="183"/>
    </x:row>
    <x:row r="98" ht="32" customHeight="1">
      <x:c r="A98" s="160"/>
      <x:c r="B98" s="161"/>
      <x:c r="C98" s="161"/>
      <x:c r="D98" s="161"/>
      <x:c r="E98" s="161"/>
      <x:c r="F98" s="180"/>
      <x:c r="G98" s="161" t="str">
        <x:f>IF(F98="","","H"&amp;IF(MONTH(F98)&lt;=6,1,2))</x:f>
      </x:c>
      <x:c r="H98" s="161"/>
      <x:c r="I98" s="161"/>
      <x:c r="J98" s="161"/>
      <x:c r="K98" s="161"/>
      <x:c r="L98" s="161"/>
      <x:c r="M98" s="161"/>
      <x:c r="N98" s="161"/>
      <x:c r="O98" s="161"/>
      <x:c r="P98" s="161"/>
      <x:c r="Q98" s="161"/>
      <x:c r="R98" s="161"/>
      <x:c r="S98" s="161"/>
      <x:c r="T98" s="165"/>
      <x:c r="U98" s="165"/>
      <x:c r="V98" s="168"/>
      <x:c r="W98" s="165"/>
      <x:c r="X98" s="168"/>
      <x:c r="Y98" s="165"/>
      <x:c r="Z98" s="165"/>
      <x:c r="AA98" s="171"/>
      <x:c r="AB98" s="171"/>
      <x:c r="AC98" s="171"/>
      <x:c r="AD98" s="171"/>
      <x:c r="AE98" s="171"/>
      <x:c r="AF98" s="174" t="str">
        <x:f>IF(T98="","",IF(T98="不适用",0,IF(T98="满分档",10,IF(T98="中间档",5,0))))</x:f>
      </x:c>
      <x:c r="AG98" s="174" t="str">
        <x:f>IF(U98="","",IF(U98="不适用",0,IF(U98="满分档",30,IF(U98="中间档",15,0))))</x:f>
      </x:c>
      <x:c r="AH98" s="174" t="str">
        <x:f>IF(W98="","",IF(W98="满分档",25,IF(W98="中间档",15,0)))</x:f>
      </x:c>
      <x:c r="AI98" s="174" t="str">
        <x:f>IF(Y98="","",IF(Y98="满分档",25,IF(Y98="中间档",15,0)))</x:f>
      </x:c>
      <x:c r="AJ98" s="174" t="str">
        <x:f>IF(Z98="","",IF(Z98="不适用",0,IF(Z98="满分档",10,IF(Z98="中间档",5,0))))</x:f>
      </x:c>
      <x:c r="AK98" s="168"/>
      <x:c r="AL98" s="165"/>
      <x:c r="AM98" s="168"/>
      <x:c r="AN98" s="165"/>
      <x:c r="AO98" s="171"/>
      <x:c r="AP98" s="171"/>
      <x:c r="AQ98" s="174" t="str">
        <x:f>IF(M98&lt;&gt;"是","",IF(AL98="","",IF(AL98="突出档",10,IF(AL98="达标档",6,0))))</x:f>
      </x:c>
      <x:c r="AR98" s="174" t="str">
        <x:f>IF(M98&lt;&gt;"是","",IF(AN98="","",IF(AN98="突出档",10,IF(AN98="达标档",6,0))))</x:f>
      </x:c>
      <x:c r="AS98" s="174" t="str">
        <x:f>IF(M98&lt;&gt;"是","",IF(OR(AQ98="",AR98=""),"",SUM(AQ98:AR98)))</x:f>
      </x:c>
      <x:c r="AT98" s="174" t="str">
        <x:f>IF(M98&lt;&gt;"是","",IF(OR(AL98="",AN98=""),"",IF(OR(AL98="0分档",AN98="0分档"),"主席履职待改进",IF(AND(AL98="突出档",AN98="突出档"),"主席履职突出","主席履职合格"))))</x:f>
      </x:c>
      <x:c r="AU98" s="174" t="str">
        <x:f>IF(OR(T98="",U98="",W98="",Y98="",Z98=""),"",IF(T98="不适用",0,10)+IF(U98="不适用",0,30)+25+25+IF(Z98="不适用",0,10))</x:f>
      </x:c>
      <x:c r="AV98" s="174" t="str">
        <x:f>IF(AU98="","",SUM(AF98:AJ98))</x:f>
      </x:c>
      <x:c r="AW98" s="186" t="str">
        <x:f>IF(AU98="","",ROUND(AV98/AU98*100,1))</x:f>
      </x:c>
      <x:c r="AX98" s="174" t="str">
        <x:f>IF(OR(AH98="",AI98=""),"",AH98+AI98)</x:f>
      </x:c>
      <x:c r="AY98" s="174" t="str">
        <x:f>IF(AX98="","",IF(AX98&lt;30,"未达标","达到门槛"))</x:f>
      </x:c>
      <x:c r="AZ98" s="174" t="str">
        <x:f>IF(A98="","",IF(OR(O98="仅挂会无有效参与",O98="缺席"),"是","否"))</x:f>
      </x:c>
      <x:c r="BA98" s="186" t="str">
        <x:f>IF(A98="","",IF(AZ98="是",0,AW98))</x:f>
      </x:c>
      <x:c r="BB98" s="174"/>
      <x:c r="BC98" s="186"/>
      <x:c r="BD98" s="186" t="str">
        <x:f>IF(A98="","",BA98)</x:f>
      </x:c>
      <x:c r="BE98" s="161"/>
      <x:c r="BF98" s="161"/>
      <x:c r="BG98" s="161"/>
      <x:c r="BH98" s="180"/>
      <x:c r="BI98" s="183"/>
    </x:row>
    <x:row r="99" ht="32" customHeight="1">
      <x:c r="A99" s="160"/>
      <x:c r="B99" s="161"/>
      <x:c r="C99" s="161"/>
      <x:c r="D99" s="161"/>
      <x:c r="E99" s="161"/>
      <x:c r="F99" s="180"/>
      <x:c r="G99" s="161" t="str">
        <x:f>IF(F99="","","H"&amp;IF(MONTH(F99)&lt;=6,1,2))</x:f>
      </x:c>
      <x:c r="H99" s="161"/>
      <x:c r="I99" s="161"/>
      <x:c r="J99" s="161"/>
      <x:c r="K99" s="161"/>
      <x:c r="L99" s="161"/>
      <x:c r="M99" s="161"/>
      <x:c r="N99" s="161"/>
      <x:c r="O99" s="161"/>
      <x:c r="P99" s="161"/>
      <x:c r="Q99" s="161"/>
      <x:c r="R99" s="161"/>
      <x:c r="S99" s="161"/>
      <x:c r="T99" s="165"/>
      <x:c r="U99" s="165"/>
      <x:c r="V99" s="168"/>
      <x:c r="W99" s="165"/>
      <x:c r="X99" s="168"/>
      <x:c r="Y99" s="165"/>
      <x:c r="Z99" s="165"/>
      <x:c r="AA99" s="171"/>
      <x:c r="AB99" s="171"/>
      <x:c r="AC99" s="171"/>
      <x:c r="AD99" s="171"/>
      <x:c r="AE99" s="171"/>
      <x:c r="AF99" s="174" t="str">
        <x:f>IF(T99="","",IF(T99="不适用",0,IF(T99="满分档",10,IF(T99="中间档",5,0))))</x:f>
      </x:c>
      <x:c r="AG99" s="174" t="str">
        <x:f>IF(U99="","",IF(U99="不适用",0,IF(U99="满分档",30,IF(U99="中间档",15,0))))</x:f>
      </x:c>
      <x:c r="AH99" s="174" t="str">
        <x:f>IF(W99="","",IF(W99="满分档",25,IF(W99="中间档",15,0)))</x:f>
      </x:c>
      <x:c r="AI99" s="174" t="str">
        <x:f>IF(Y99="","",IF(Y99="满分档",25,IF(Y99="中间档",15,0)))</x:f>
      </x:c>
      <x:c r="AJ99" s="174" t="str">
        <x:f>IF(Z99="","",IF(Z99="不适用",0,IF(Z99="满分档",10,IF(Z99="中间档",5,0))))</x:f>
      </x:c>
      <x:c r="AK99" s="168"/>
      <x:c r="AL99" s="165"/>
      <x:c r="AM99" s="168"/>
      <x:c r="AN99" s="165"/>
      <x:c r="AO99" s="171"/>
      <x:c r="AP99" s="171"/>
      <x:c r="AQ99" s="174" t="str">
        <x:f>IF(M99&lt;&gt;"是","",IF(AL99="","",IF(AL99="突出档",10,IF(AL99="达标档",6,0))))</x:f>
      </x:c>
      <x:c r="AR99" s="174" t="str">
        <x:f>IF(M99&lt;&gt;"是","",IF(AN99="","",IF(AN99="突出档",10,IF(AN99="达标档",6,0))))</x:f>
      </x:c>
      <x:c r="AS99" s="174" t="str">
        <x:f>IF(M99&lt;&gt;"是","",IF(OR(AQ99="",AR99=""),"",SUM(AQ99:AR99)))</x:f>
      </x:c>
      <x:c r="AT99" s="174" t="str">
        <x:f>IF(M99&lt;&gt;"是","",IF(OR(AL99="",AN99=""),"",IF(OR(AL99="0分档",AN99="0分档"),"主席履职待改进",IF(AND(AL99="突出档",AN99="突出档"),"主席履职突出","主席履职合格"))))</x:f>
      </x:c>
      <x:c r="AU99" s="174" t="str">
        <x:f>IF(OR(T99="",U99="",W99="",Y99="",Z99=""),"",IF(T99="不适用",0,10)+IF(U99="不适用",0,30)+25+25+IF(Z99="不适用",0,10))</x:f>
      </x:c>
      <x:c r="AV99" s="174" t="str">
        <x:f>IF(AU99="","",SUM(AF99:AJ99))</x:f>
      </x:c>
      <x:c r="AW99" s="186" t="str">
        <x:f>IF(AU99="","",ROUND(AV99/AU99*100,1))</x:f>
      </x:c>
      <x:c r="AX99" s="174" t="str">
        <x:f>IF(OR(AH99="",AI99=""),"",AH99+AI99)</x:f>
      </x:c>
      <x:c r="AY99" s="174" t="str">
        <x:f>IF(AX99="","",IF(AX99&lt;30,"未达标","达到门槛"))</x:f>
      </x:c>
      <x:c r="AZ99" s="174" t="str">
        <x:f>IF(A99="","",IF(OR(O99="仅挂会无有效参与",O99="缺席"),"是","否"))</x:f>
      </x:c>
      <x:c r="BA99" s="186" t="str">
        <x:f>IF(A99="","",IF(AZ99="是",0,AW99))</x:f>
      </x:c>
      <x:c r="BB99" s="174"/>
      <x:c r="BC99" s="186"/>
      <x:c r="BD99" s="186" t="str">
        <x:f>IF(A99="","",BA99)</x:f>
      </x:c>
      <x:c r="BE99" s="161"/>
      <x:c r="BF99" s="161"/>
      <x:c r="BG99" s="161"/>
      <x:c r="BH99" s="180"/>
      <x:c r="BI99" s="183"/>
    </x:row>
    <x:row r="100" ht="32" customHeight="1">
      <x:c r="A100" s="160"/>
      <x:c r="B100" s="161"/>
      <x:c r="C100" s="161"/>
      <x:c r="D100" s="161"/>
      <x:c r="E100" s="161"/>
      <x:c r="F100" s="180"/>
      <x:c r="G100" s="161" t="str">
        <x:f>IF(F100="","","H"&amp;IF(MONTH(F100)&lt;=6,1,2))</x:f>
      </x:c>
      <x:c r="H100" s="161"/>
      <x:c r="I100" s="161"/>
      <x:c r="J100" s="161"/>
      <x:c r="K100" s="161"/>
      <x:c r="L100" s="161"/>
      <x:c r="M100" s="161"/>
      <x:c r="N100" s="161"/>
      <x:c r="O100" s="161"/>
      <x:c r="P100" s="161"/>
      <x:c r="Q100" s="161"/>
      <x:c r="R100" s="161"/>
      <x:c r="S100" s="161"/>
      <x:c r="T100" s="165"/>
      <x:c r="U100" s="165"/>
      <x:c r="V100" s="168"/>
      <x:c r="W100" s="165"/>
      <x:c r="X100" s="168"/>
      <x:c r="Y100" s="165"/>
      <x:c r="Z100" s="165"/>
      <x:c r="AA100" s="171"/>
      <x:c r="AB100" s="171"/>
      <x:c r="AC100" s="171"/>
      <x:c r="AD100" s="171"/>
      <x:c r="AE100" s="171"/>
      <x:c r="AF100" s="174" t="str">
        <x:f>IF(T100="","",IF(T100="不适用",0,IF(T100="满分档",10,IF(T100="中间档",5,0))))</x:f>
      </x:c>
      <x:c r="AG100" s="174" t="str">
        <x:f>IF(U100="","",IF(U100="不适用",0,IF(U100="满分档",30,IF(U100="中间档",15,0))))</x:f>
      </x:c>
      <x:c r="AH100" s="174" t="str">
        <x:f>IF(W100="","",IF(W100="满分档",25,IF(W100="中间档",15,0)))</x:f>
      </x:c>
      <x:c r="AI100" s="174" t="str">
        <x:f>IF(Y100="","",IF(Y100="满分档",25,IF(Y100="中间档",15,0)))</x:f>
      </x:c>
      <x:c r="AJ100" s="174" t="str">
        <x:f>IF(Z100="","",IF(Z100="不适用",0,IF(Z100="满分档",10,IF(Z100="中间档",5,0))))</x:f>
      </x:c>
      <x:c r="AK100" s="168"/>
      <x:c r="AL100" s="165"/>
      <x:c r="AM100" s="168"/>
      <x:c r="AN100" s="165"/>
      <x:c r="AO100" s="171"/>
      <x:c r="AP100" s="171"/>
      <x:c r="AQ100" s="174" t="str">
        <x:f>IF(M100&lt;&gt;"是","",IF(AL100="","",IF(AL100="突出档",10,IF(AL100="达标档",6,0))))</x:f>
      </x:c>
      <x:c r="AR100" s="174" t="str">
        <x:f>IF(M100&lt;&gt;"是","",IF(AN100="","",IF(AN100="突出档",10,IF(AN100="达标档",6,0))))</x:f>
      </x:c>
      <x:c r="AS100" s="174" t="str">
        <x:f>IF(M100&lt;&gt;"是","",IF(OR(AQ100="",AR100=""),"",SUM(AQ100:AR100)))</x:f>
      </x:c>
      <x:c r="AT100" s="174" t="str">
        <x:f>IF(M100&lt;&gt;"是","",IF(OR(AL100="",AN100=""),"",IF(OR(AL100="0分档",AN100="0分档"),"主席履职待改进",IF(AND(AL100="突出档",AN100="突出档"),"主席履职突出","主席履职合格"))))</x:f>
      </x:c>
      <x:c r="AU100" s="174" t="str">
        <x:f>IF(OR(T100="",U100="",W100="",Y100="",Z100=""),"",IF(T100="不适用",0,10)+IF(U100="不适用",0,30)+25+25+IF(Z100="不适用",0,10))</x:f>
      </x:c>
      <x:c r="AV100" s="174" t="str">
        <x:f>IF(AU100="","",SUM(AF100:AJ100))</x:f>
      </x:c>
      <x:c r="AW100" s="186" t="str">
        <x:f>IF(AU100="","",ROUND(AV100/AU100*100,1))</x:f>
      </x:c>
      <x:c r="AX100" s="174" t="str">
        <x:f>IF(OR(AH100="",AI100=""),"",AH100+AI100)</x:f>
      </x:c>
      <x:c r="AY100" s="174" t="str">
        <x:f>IF(AX100="","",IF(AX100&lt;30,"未达标","达到门槛"))</x:f>
      </x:c>
      <x:c r="AZ100" s="174" t="str">
        <x:f>IF(A100="","",IF(OR(O100="仅挂会无有效参与",O100="缺席"),"是","否"))</x:f>
      </x:c>
      <x:c r="BA100" s="186" t="str">
        <x:f>IF(A100="","",IF(AZ100="是",0,AW100))</x:f>
      </x:c>
      <x:c r="BB100" s="174"/>
      <x:c r="BC100" s="186"/>
      <x:c r="BD100" s="186" t="str">
        <x:f>IF(A100="","",BA100)</x:f>
      </x:c>
      <x:c r="BE100" s="161"/>
      <x:c r="BF100" s="161"/>
      <x:c r="BG100" s="161"/>
      <x:c r="BH100" s="180"/>
      <x:c r="BI100" s="183"/>
    </x:row>
    <x:row r="101" ht="32" customHeight="1">
      <x:c r="A101" s="160"/>
      <x:c r="B101" s="161"/>
      <x:c r="C101" s="161"/>
      <x:c r="D101" s="161"/>
      <x:c r="E101" s="161"/>
      <x:c r="F101" s="180"/>
      <x:c r="G101" s="161" t="str">
        <x:f>IF(F101="","","H"&amp;IF(MONTH(F101)&lt;=6,1,2))</x:f>
      </x:c>
      <x:c r="H101" s="161"/>
      <x:c r="I101" s="161"/>
      <x:c r="J101" s="161"/>
      <x:c r="K101" s="161"/>
      <x:c r="L101" s="161"/>
      <x:c r="M101" s="161"/>
      <x:c r="N101" s="161"/>
      <x:c r="O101" s="161"/>
      <x:c r="P101" s="161"/>
      <x:c r="Q101" s="161"/>
      <x:c r="R101" s="161"/>
      <x:c r="S101" s="161"/>
      <x:c r="T101" s="165"/>
      <x:c r="U101" s="165"/>
      <x:c r="V101" s="168"/>
      <x:c r="W101" s="165"/>
      <x:c r="X101" s="168"/>
      <x:c r="Y101" s="165"/>
      <x:c r="Z101" s="165"/>
      <x:c r="AA101" s="171"/>
      <x:c r="AB101" s="171"/>
      <x:c r="AC101" s="171"/>
      <x:c r="AD101" s="171"/>
      <x:c r="AE101" s="171"/>
      <x:c r="AF101" s="174" t="str">
        <x:f>IF(T101="","",IF(T101="不适用",0,IF(T101="满分档",10,IF(T101="中间档",5,0))))</x:f>
      </x:c>
      <x:c r="AG101" s="174" t="str">
        <x:f>IF(U101="","",IF(U101="不适用",0,IF(U101="满分档",30,IF(U101="中间档",15,0))))</x:f>
      </x:c>
      <x:c r="AH101" s="174" t="str">
        <x:f>IF(W101="","",IF(W101="满分档",25,IF(W101="中间档",15,0)))</x:f>
      </x:c>
      <x:c r="AI101" s="174" t="str">
        <x:f>IF(Y101="","",IF(Y101="满分档",25,IF(Y101="中间档",15,0)))</x:f>
      </x:c>
      <x:c r="AJ101" s="174" t="str">
        <x:f>IF(Z101="","",IF(Z101="不适用",0,IF(Z101="满分档",10,IF(Z101="中间档",5,0))))</x:f>
      </x:c>
      <x:c r="AK101" s="168"/>
      <x:c r="AL101" s="165"/>
      <x:c r="AM101" s="168"/>
      <x:c r="AN101" s="165"/>
      <x:c r="AO101" s="171"/>
      <x:c r="AP101" s="171"/>
      <x:c r="AQ101" s="174" t="str">
        <x:f>IF(M101&lt;&gt;"是","",IF(AL101="","",IF(AL101="突出档",10,IF(AL101="达标档",6,0))))</x:f>
      </x:c>
      <x:c r="AR101" s="174" t="str">
        <x:f>IF(M101&lt;&gt;"是","",IF(AN101="","",IF(AN101="突出档",10,IF(AN101="达标档",6,0))))</x:f>
      </x:c>
      <x:c r="AS101" s="174" t="str">
        <x:f>IF(M101&lt;&gt;"是","",IF(OR(AQ101="",AR101=""),"",SUM(AQ101:AR101)))</x:f>
      </x:c>
      <x:c r="AT101" s="174" t="str">
        <x:f>IF(M101&lt;&gt;"是","",IF(OR(AL101="",AN101=""),"",IF(OR(AL101="0分档",AN101="0分档"),"主席履职待改进",IF(AND(AL101="突出档",AN101="突出档"),"主席履职突出","主席履职合格"))))</x:f>
      </x:c>
      <x:c r="AU101" s="174" t="str">
        <x:f>IF(OR(T101="",U101="",W101="",Y101="",Z101=""),"",IF(T101="不适用",0,10)+IF(U101="不适用",0,30)+25+25+IF(Z101="不适用",0,10))</x:f>
      </x:c>
      <x:c r="AV101" s="174" t="str">
        <x:f>IF(AU101="","",SUM(AF101:AJ101))</x:f>
      </x:c>
      <x:c r="AW101" s="186" t="str">
        <x:f>IF(AU101="","",ROUND(AV101/AU101*100,1))</x:f>
      </x:c>
      <x:c r="AX101" s="174" t="str">
        <x:f>IF(OR(AH101="",AI101=""),"",AH101+AI101)</x:f>
      </x:c>
      <x:c r="AY101" s="174" t="str">
        <x:f>IF(AX101="","",IF(AX101&lt;30,"未达标","达到门槛"))</x:f>
      </x:c>
      <x:c r="AZ101" s="174" t="str">
        <x:f>IF(A101="","",IF(OR(O101="仅挂会无有效参与",O101="缺席"),"是","否"))</x:f>
      </x:c>
      <x:c r="BA101" s="186" t="str">
        <x:f>IF(A101="","",IF(AZ101="是",0,AW101))</x:f>
      </x:c>
      <x:c r="BB101" s="174"/>
      <x:c r="BC101" s="186"/>
      <x:c r="BD101" s="186" t="str">
        <x:f>IF(A101="","",BA101)</x:f>
      </x:c>
      <x:c r="BE101" s="161"/>
      <x:c r="BF101" s="161"/>
      <x:c r="BG101" s="161"/>
      <x:c r="BH101" s="180"/>
      <x:c r="BI101" s="183"/>
    </x:row>
    <x:row r="102" ht="32" customHeight="1">
      <x:c r="A102" s="160"/>
      <x:c r="B102" s="161"/>
      <x:c r="C102" s="161"/>
      <x:c r="D102" s="161"/>
      <x:c r="E102" s="161"/>
      <x:c r="F102" s="180"/>
      <x:c r="G102" s="161" t="str">
        <x:f>IF(F102="","","H"&amp;IF(MONTH(F102)&lt;=6,1,2))</x:f>
      </x:c>
      <x:c r="H102" s="161"/>
      <x:c r="I102" s="161"/>
      <x:c r="J102" s="161"/>
      <x:c r="K102" s="161"/>
      <x:c r="L102" s="161"/>
      <x:c r="M102" s="161"/>
      <x:c r="N102" s="161"/>
      <x:c r="O102" s="161"/>
      <x:c r="P102" s="161"/>
      <x:c r="Q102" s="161"/>
      <x:c r="R102" s="161"/>
      <x:c r="S102" s="161"/>
      <x:c r="T102" s="165"/>
      <x:c r="U102" s="165"/>
      <x:c r="V102" s="168"/>
      <x:c r="W102" s="165"/>
      <x:c r="X102" s="168"/>
      <x:c r="Y102" s="165"/>
      <x:c r="Z102" s="165"/>
      <x:c r="AA102" s="171"/>
      <x:c r="AB102" s="171"/>
      <x:c r="AC102" s="171"/>
      <x:c r="AD102" s="171"/>
      <x:c r="AE102" s="171"/>
      <x:c r="AF102" s="174" t="str">
        <x:f>IF(T102="","",IF(T102="不适用",0,IF(T102="满分档",10,IF(T102="中间档",5,0))))</x:f>
      </x:c>
      <x:c r="AG102" s="174" t="str">
        <x:f>IF(U102="","",IF(U102="不适用",0,IF(U102="满分档",30,IF(U102="中间档",15,0))))</x:f>
      </x:c>
      <x:c r="AH102" s="174" t="str">
        <x:f>IF(W102="","",IF(W102="满分档",25,IF(W102="中间档",15,0)))</x:f>
      </x:c>
      <x:c r="AI102" s="174" t="str">
        <x:f>IF(Y102="","",IF(Y102="满分档",25,IF(Y102="中间档",15,0)))</x:f>
      </x:c>
      <x:c r="AJ102" s="174" t="str">
        <x:f>IF(Z102="","",IF(Z102="不适用",0,IF(Z102="满分档",10,IF(Z102="中间档",5,0))))</x:f>
      </x:c>
      <x:c r="AK102" s="168"/>
      <x:c r="AL102" s="165"/>
      <x:c r="AM102" s="168"/>
      <x:c r="AN102" s="165"/>
      <x:c r="AO102" s="171"/>
      <x:c r="AP102" s="171"/>
      <x:c r="AQ102" s="174" t="str">
        <x:f>IF(M102&lt;&gt;"是","",IF(AL102="","",IF(AL102="突出档",10,IF(AL102="达标档",6,0))))</x:f>
      </x:c>
      <x:c r="AR102" s="174" t="str">
        <x:f>IF(M102&lt;&gt;"是","",IF(AN102="","",IF(AN102="突出档",10,IF(AN102="达标档",6,0))))</x:f>
      </x:c>
      <x:c r="AS102" s="174" t="str">
        <x:f>IF(M102&lt;&gt;"是","",IF(OR(AQ102="",AR102=""),"",SUM(AQ102:AR102)))</x:f>
      </x:c>
      <x:c r="AT102" s="174" t="str">
        <x:f>IF(M102&lt;&gt;"是","",IF(OR(AL102="",AN102=""),"",IF(OR(AL102="0分档",AN102="0分档"),"主席履职待改进",IF(AND(AL102="突出档",AN102="突出档"),"主席履职突出","主席履职合格"))))</x:f>
      </x:c>
      <x:c r="AU102" s="174" t="str">
        <x:f>IF(OR(T102="",U102="",W102="",Y102="",Z102=""),"",IF(T102="不适用",0,10)+IF(U102="不适用",0,30)+25+25+IF(Z102="不适用",0,10))</x:f>
      </x:c>
      <x:c r="AV102" s="174" t="str">
        <x:f>IF(AU102="","",SUM(AF102:AJ102))</x:f>
      </x:c>
      <x:c r="AW102" s="186" t="str">
        <x:f>IF(AU102="","",ROUND(AV102/AU102*100,1))</x:f>
      </x:c>
      <x:c r="AX102" s="174" t="str">
        <x:f>IF(OR(AH102="",AI102=""),"",AH102+AI102)</x:f>
      </x:c>
      <x:c r="AY102" s="174" t="str">
        <x:f>IF(AX102="","",IF(AX102&lt;30,"未达标","达到门槛"))</x:f>
      </x:c>
      <x:c r="AZ102" s="174" t="str">
        <x:f>IF(A102="","",IF(OR(O102="仅挂会无有效参与",O102="缺席"),"是","否"))</x:f>
      </x:c>
      <x:c r="BA102" s="186" t="str">
        <x:f>IF(A102="","",IF(AZ102="是",0,AW102))</x:f>
      </x:c>
      <x:c r="BB102" s="174"/>
      <x:c r="BC102" s="186"/>
      <x:c r="BD102" s="186" t="str">
        <x:f>IF(A102="","",BA102)</x:f>
      </x:c>
      <x:c r="BE102" s="161"/>
      <x:c r="BF102" s="161"/>
      <x:c r="BG102" s="161"/>
      <x:c r="BH102" s="180"/>
      <x:c r="BI102" s="183"/>
    </x:row>
    <x:row r="103" ht="32" customHeight="1">
      <x:c r="A103" s="160"/>
      <x:c r="B103" s="161"/>
      <x:c r="C103" s="161"/>
      <x:c r="D103" s="161"/>
      <x:c r="E103" s="161"/>
      <x:c r="F103" s="180"/>
      <x:c r="G103" s="161" t="str">
        <x:f>IF(F103="","","H"&amp;IF(MONTH(F103)&lt;=6,1,2))</x:f>
      </x:c>
      <x:c r="H103" s="161"/>
      <x:c r="I103" s="161"/>
      <x:c r="J103" s="161"/>
      <x:c r="K103" s="161"/>
      <x:c r="L103" s="161"/>
      <x:c r="M103" s="161"/>
      <x:c r="N103" s="161"/>
      <x:c r="O103" s="161"/>
      <x:c r="P103" s="161"/>
      <x:c r="Q103" s="161"/>
      <x:c r="R103" s="161"/>
      <x:c r="S103" s="161"/>
      <x:c r="T103" s="165"/>
      <x:c r="U103" s="165"/>
      <x:c r="V103" s="168"/>
      <x:c r="W103" s="165"/>
      <x:c r="X103" s="168"/>
      <x:c r="Y103" s="165"/>
      <x:c r="Z103" s="165"/>
      <x:c r="AA103" s="171"/>
      <x:c r="AB103" s="171"/>
      <x:c r="AC103" s="171"/>
      <x:c r="AD103" s="171"/>
      <x:c r="AE103" s="171"/>
      <x:c r="AF103" s="174" t="str">
        <x:f>IF(T103="","",IF(T103="不适用",0,IF(T103="满分档",10,IF(T103="中间档",5,0))))</x:f>
      </x:c>
      <x:c r="AG103" s="174" t="str">
        <x:f>IF(U103="","",IF(U103="不适用",0,IF(U103="满分档",30,IF(U103="中间档",15,0))))</x:f>
      </x:c>
      <x:c r="AH103" s="174" t="str">
        <x:f>IF(W103="","",IF(W103="满分档",25,IF(W103="中间档",15,0)))</x:f>
      </x:c>
      <x:c r="AI103" s="174" t="str">
        <x:f>IF(Y103="","",IF(Y103="满分档",25,IF(Y103="中间档",15,0)))</x:f>
      </x:c>
      <x:c r="AJ103" s="174" t="str">
        <x:f>IF(Z103="","",IF(Z103="不适用",0,IF(Z103="满分档",10,IF(Z103="中间档",5,0))))</x:f>
      </x:c>
      <x:c r="AK103" s="168"/>
      <x:c r="AL103" s="165"/>
      <x:c r="AM103" s="168"/>
      <x:c r="AN103" s="165"/>
      <x:c r="AO103" s="171"/>
      <x:c r="AP103" s="171"/>
      <x:c r="AQ103" s="174" t="str">
        <x:f>IF(M103&lt;&gt;"是","",IF(AL103="","",IF(AL103="突出档",10,IF(AL103="达标档",6,0))))</x:f>
      </x:c>
      <x:c r="AR103" s="174" t="str">
        <x:f>IF(M103&lt;&gt;"是","",IF(AN103="","",IF(AN103="突出档",10,IF(AN103="达标档",6,0))))</x:f>
      </x:c>
      <x:c r="AS103" s="174" t="str">
        <x:f>IF(M103&lt;&gt;"是","",IF(OR(AQ103="",AR103=""),"",SUM(AQ103:AR103)))</x:f>
      </x:c>
      <x:c r="AT103" s="174" t="str">
        <x:f>IF(M103&lt;&gt;"是","",IF(OR(AL103="",AN103=""),"",IF(OR(AL103="0分档",AN103="0分档"),"主席履职待改进",IF(AND(AL103="突出档",AN103="突出档"),"主席履职突出","主席履职合格"))))</x:f>
      </x:c>
      <x:c r="AU103" s="174" t="str">
        <x:f>IF(OR(T103="",U103="",W103="",Y103="",Z103=""),"",IF(T103="不适用",0,10)+IF(U103="不适用",0,30)+25+25+IF(Z103="不适用",0,10))</x:f>
      </x:c>
      <x:c r="AV103" s="174" t="str">
        <x:f>IF(AU103="","",SUM(AF103:AJ103))</x:f>
      </x:c>
      <x:c r="AW103" s="186" t="str">
        <x:f>IF(AU103="","",ROUND(AV103/AU103*100,1))</x:f>
      </x:c>
      <x:c r="AX103" s="174" t="str">
        <x:f>IF(OR(AH103="",AI103=""),"",AH103+AI103)</x:f>
      </x:c>
      <x:c r="AY103" s="174" t="str">
        <x:f>IF(AX103="","",IF(AX103&lt;30,"未达标","达到门槛"))</x:f>
      </x:c>
      <x:c r="AZ103" s="174" t="str">
        <x:f>IF(A103="","",IF(OR(O103="仅挂会无有效参与",O103="缺席"),"是","否"))</x:f>
      </x:c>
      <x:c r="BA103" s="186" t="str">
        <x:f>IF(A103="","",IF(AZ103="是",0,AW103))</x:f>
      </x:c>
      <x:c r="BB103" s="174"/>
      <x:c r="BC103" s="186"/>
      <x:c r="BD103" s="186" t="str">
        <x:f>IF(A103="","",BA103)</x:f>
      </x:c>
      <x:c r="BE103" s="161"/>
      <x:c r="BF103" s="161"/>
      <x:c r="BG103" s="161"/>
      <x:c r="BH103" s="180"/>
      <x:c r="BI103" s="183"/>
    </x:row>
    <x:row r="104" ht="32" customHeight="1">
      <x:c r="A104" s="160"/>
      <x:c r="B104" s="161"/>
      <x:c r="C104" s="161"/>
      <x:c r="D104" s="161"/>
      <x:c r="E104" s="161"/>
      <x:c r="F104" s="180"/>
      <x:c r="G104" s="161" t="str">
        <x:f>IF(F104="","","H"&amp;IF(MONTH(F104)&lt;=6,1,2))</x:f>
      </x:c>
      <x:c r="H104" s="161"/>
      <x:c r="I104" s="161"/>
      <x:c r="J104" s="161"/>
      <x:c r="K104" s="161"/>
      <x:c r="L104" s="161"/>
      <x:c r="M104" s="161"/>
      <x:c r="N104" s="161"/>
      <x:c r="O104" s="161"/>
      <x:c r="P104" s="161"/>
      <x:c r="Q104" s="161"/>
      <x:c r="R104" s="161"/>
      <x:c r="S104" s="161"/>
      <x:c r="T104" s="165"/>
      <x:c r="U104" s="165"/>
      <x:c r="V104" s="168"/>
      <x:c r="W104" s="165"/>
      <x:c r="X104" s="168"/>
      <x:c r="Y104" s="165"/>
      <x:c r="Z104" s="165"/>
      <x:c r="AA104" s="171"/>
      <x:c r="AB104" s="171"/>
      <x:c r="AC104" s="171"/>
      <x:c r="AD104" s="171"/>
      <x:c r="AE104" s="171"/>
      <x:c r="AF104" s="174" t="str">
        <x:f>IF(T104="","",IF(T104="不适用",0,IF(T104="满分档",10,IF(T104="中间档",5,0))))</x:f>
      </x:c>
      <x:c r="AG104" s="174" t="str">
        <x:f>IF(U104="","",IF(U104="不适用",0,IF(U104="满分档",30,IF(U104="中间档",15,0))))</x:f>
      </x:c>
      <x:c r="AH104" s="174" t="str">
        <x:f>IF(W104="","",IF(W104="满分档",25,IF(W104="中间档",15,0)))</x:f>
      </x:c>
      <x:c r="AI104" s="174" t="str">
        <x:f>IF(Y104="","",IF(Y104="满分档",25,IF(Y104="中间档",15,0)))</x:f>
      </x:c>
      <x:c r="AJ104" s="174" t="str">
        <x:f>IF(Z104="","",IF(Z104="不适用",0,IF(Z104="满分档",10,IF(Z104="中间档",5,0))))</x:f>
      </x:c>
      <x:c r="AK104" s="168"/>
      <x:c r="AL104" s="165"/>
      <x:c r="AM104" s="168"/>
      <x:c r="AN104" s="165"/>
      <x:c r="AO104" s="171"/>
      <x:c r="AP104" s="171"/>
      <x:c r="AQ104" s="174" t="str">
        <x:f>IF(M104&lt;&gt;"是","",IF(AL104="","",IF(AL104="突出档",10,IF(AL104="达标档",6,0))))</x:f>
      </x:c>
      <x:c r="AR104" s="174" t="str">
        <x:f>IF(M104&lt;&gt;"是","",IF(AN104="","",IF(AN104="突出档",10,IF(AN104="达标档",6,0))))</x:f>
      </x:c>
      <x:c r="AS104" s="174" t="str">
        <x:f>IF(M104&lt;&gt;"是","",IF(OR(AQ104="",AR104=""),"",SUM(AQ104:AR104)))</x:f>
      </x:c>
      <x:c r="AT104" s="174" t="str">
        <x:f>IF(M104&lt;&gt;"是","",IF(OR(AL104="",AN104=""),"",IF(OR(AL104="0分档",AN104="0分档"),"主席履职待改进",IF(AND(AL104="突出档",AN104="突出档"),"主席履职突出","主席履职合格"))))</x:f>
      </x:c>
      <x:c r="AU104" s="174" t="str">
        <x:f>IF(OR(T104="",U104="",W104="",Y104="",Z104=""),"",IF(T104="不适用",0,10)+IF(U104="不适用",0,30)+25+25+IF(Z104="不适用",0,10))</x:f>
      </x:c>
      <x:c r="AV104" s="174" t="str">
        <x:f>IF(AU104="","",SUM(AF104:AJ104))</x:f>
      </x:c>
      <x:c r="AW104" s="186" t="str">
        <x:f>IF(AU104="","",ROUND(AV104/AU104*100,1))</x:f>
      </x:c>
      <x:c r="AX104" s="174" t="str">
        <x:f>IF(OR(AH104="",AI104=""),"",AH104+AI104)</x:f>
      </x:c>
      <x:c r="AY104" s="174" t="str">
        <x:f>IF(AX104="","",IF(AX104&lt;30,"未达标","达到门槛"))</x:f>
      </x:c>
      <x:c r="AZ104" s="174" t="str">
        <x:f>IF(A104="","",IF(OR(O104="仅挂会无有效参与",O104="缺席"),"是","否"))</x:f>
      </x:c>
      <x:c r="BA104" s="186" t="str">
        <x:f>IF(A104="","",IF(AZ104="是",0,AW104))</x:f>
      </x:c>
      <x:c r="BB104" s="174"/>
      <x:c r="BC104" s="186"/>
      <x:c r="BD104" s="186" t="str">
        <x:f>IF(A104="","",BA104)</x:f>
      </x:c>
      <x:c r="BE104" s="161"/>
      <x:c r="BF104" s="161"/>
      <x:c r="BG104" s="161"/>
      <x:c r="BH104" s="180"/>
      <x:c r="BI104" s="183"/>
    </x:row>
    <x:row r="105" ht="32" customHeight="1">
      <x:c r="A105" s="162"/>
      <x:c r="B105" s="163"/>
      <x:c r="C105" s="163"/>
      <x:c r="D105" s="163"/>
      <x:c r="E105" s="163"/>
      <x:c r="F105" s="181"/>
      <x:c r="G105" s="163" t="str">
        <x:f>IF(F105="","","H"&amp;IF(MONTH(F105)&lt;=6,1,2))</x:f>
      </x:c>
      <x:c r="H105" s="163"/>
      <x:c r="I105" s="163"/>
      <x:c r="J105" s="163"/>
      <x:c r="K105" s="163"/>
      <x:c r="L105" s="163"/>
      <x:c r="M105" s="163"/>
      <x:c r="N105" s="163"/>
      <x:c r="O105" s="163"/>
      <x:c r="P105" s="163"/>
      <x:c r="Q105" s="163"/>
      <x:c r="R105" s="163"/>
      <x:c r="S105" s="163"/>
      <x:c r="T105" s="166"/>
      <x:c r="U105" s="166"/>
      <x:c r="V105" s="169"/>
      <x:c r="W105" s="166"/>
      <x:c r="X105" s="169"/>
      <x:c r="Y105" s="166"/>
      <x:c r="Z105" s="166"/>
      <x:c r="AA105" s="172"/>
      <x:c r="AB105" s="172"/>
      <x:c r="AC105" s="172"/>
      <x:c r="AD105" s="172"/>
      <x:c r="AE105" s="172"/>
      <x:c r="AF105" s="175" t="str">
        <x:f>IF(T105="","",IF(T105="不适用",0,IF(T105="满分档",10,IF(T105="中间档",5,0))))</x:f>
      </x:c>
      <x:c r="AG105" s="175" t="str">
        <x:f>IF(U105="","",IF(U105="不适用",0,IF(U105="满分档",30,IF(U105="中间档",15,0))))</x:f>
      </x:c>
      <x:c r="AH105" s="175" t="str">
        <x:f>IF(W105="","",IF(W105="满分档",25,IF(W105="中间档",15,0)))</x:f>
      </x:c>
      <x:c r="AI105" s="175" t="str">
        <x:f>IF(Y105="","",IF(Y105="满分档",25,IF(Y105="中间档",15,0)))</x:f>
      </x:c>
      <x:c r="AJ105" s="175" t="str">
        <x:f>IF(Z105="","",IF(Z105="不适用",0,IF(Z105="满分档",10,IF(Z105="中间档",5,0))))</x:f>
      </x:c>
      <x:c r="AK105" s="169"/>
      <x:c r="AL105" s="166"/>
      <x:c r="AM105" s="169"/>
      <x:c r="AN105" s="166"/>
      <x:c r="AO105" s="172"/>
      <x:c r="AP105" s="172"/>
      <x:c r="AQ105" s="175" t="str">
        <x:f>IF(M105&lt;&gt;"是","",IF(AL105="","",IF(AL105="突出档",10,IF(AL105="达标档",6,0))))</x:f>
      </x:c>
      <x:c r="AR105" s="175" t="str">
        <x:f>IF(M105&lt;&gt;"是","",IF(AN105="","",IF(AN105="突出档",10,IF(AN105="达标档",6,0))))</x:f>
      </x:c>
      <x:c r="AS105" s="175" t="str">
        <x:f>IF(M105&lt;&gt;"是","",IF(OR(AQ105="",AR105=""),"",SUM(AQ105:AR105)))</x:f>
      </x:c>
      <x:c r="AT105" s="175" t="str">
        <x:f>IF(M105&lt;&gt;"是","",IF(OR(AL105="",AN105=""),"",IF(OR(AL105="0分档",AN105="0分档"),"主席履职待改进",IF(AND(AL105="突出档",AN105="突出档"),"主席履职突出","主席履职合格"))))</x:f>
      </x:c>
      <x:c r="AU105" s="175" t="str">
        <x:f>IF(OR(T105="",U105="",W105="",Y105="",Z105=""),"",IF(T105="不适用",0,10)+IF(U105="不适用",0,30)+25+25+IF(Z105="不适用",0,10))</x:f>
      </x:c>
      <x:c r="AV105" s="175" t="str">
        <x:f>IF(AU105="","",SUM(AF105:AJ105))</x:f>
      </x:c>
      <x:c r="AW105" s="187" t="str">
        <x:f>IF(AU105="","",ROUND(AV105/AU105*100,1))</x:f>
      </x:c>
      <x:c r="AX105" s="175" t="str">
        <x:f>IF(OR(AH105="",AI105=""),"",AH105+AI105)</x:f>
      </x:c>
      <x:c r="AY105" s="175" t="str">
        <x:f>IF(AX105="","",IF(AX105&lt;30,"未达标","达到门槛"))</x:f>
      </x:c>
      <x:c r="AZ105" s="175" t="str">
        <x:f>IF(A105="","",IF(OR(O105="仅挂会无有效参与",O105="缺席"),"是","否"))</x:f>
      </x:c>
      <x:c r="BA105" s="187" t="str">
        <x:f>IF(A105="","",IF(AZ105="是",0,AW105))</x:f>
      </x:c>
      <x:c r="BB105" s="175"/>
      <x:c r="BC105" s="187"/>
      <x:c r="BD105" s="187" t="str">
        <x:f>IF(A105="","",BA105)</x:f>
      </x:c>
      <x:c r="BE105" s="163"/>
      <x:c r="BF105" s="163"/>
      <x:c r="BG105" s="163"/>
      <x:c r="BH105" s="181"/>
      <x:c r="BI105" s="184"/>
    </x:row>
  </x:sheetData>
  <x:mergeCells>
    <x:mergeCell ref="A1:S1"/>
    <x:mergeCell ref="A2:AG2"/>
    <x:mergeCell ref="A3:AG3"/>
    <x:mergeCell ref="A4:S4"/>
    <x:mergeCell ref="T4:Z4"/>
    <x:mergeCell ref="AA4:AE4"/>
    <x:mergeCell ref="AF4:AJ4"/>
    <x:mergeCell ref="AK4:AN4"/>
    <x:mergeCell ref="AO4:AP4"/>
    <x:mergeCell ref="AQ4:AT4"/>
    <x:mergeCell ref="AU4:BD4"/>
    <x:mergeCell ref="BE4:BI4"/>
  </x:mergeCells>
  <x:conditionalFormatting sqref="AY6:AY105">
    <x:cfRule type="containsText" dxfId="0" priority="1" operator="containsText" text="未达标"/>
  </x:conditionalFormatting>
  <x:conditionalFormatting sqref="AZ6:AZ105">
    <x:cfRule type="containsText" dxfId="1" priority="2" operator="containsText" text="是"/>
  </x:conditionalFormatting>
  <x:conditionalFormatting sqref="AT6:AT105">
    <x:cfRule type="containsText" dxfId="2" priority="3" operator="containsText" text="突出"/>
  </x:conditionalFormatting>
  <x:dataValidations count="10">
    <x:dataValidation type="list" sqref="E6:E105">
      <x:formula1>"TDR1,TDR2,TDR3,TDR1＋TDR2"</x:formula1>
    </x:dataValidation>
    <x:dataValidation type="list" sqref="M6:M105">
      <x:formula1>"是,否"</x:formula1>
    </x:dataValidation>
    <x:dataValidation type="list" sqref="O6:O105">
      <x:formula1>"有效参加,部分参加,仅挂会无有效参与,缺席"</x:formula1>
    </x:dataValidation>
    <x:dataValidation type="list" sqref="P6:P105">
      <x:formula1>"正常,缺席,个人改派,组织调整,特殊豁免"</x:formula1>
    </x:dataValidation>
    <x:dataValidation type="list" sqref="Q6:Q105">
      <x:formula1>"G,GR,NG"</x:formula1>
    </x:dataValidation>
    <x:dataValidation type="list" sqref="T6:U105">
      <x:formula1>"满分档,中间档,0分档,不适用"</x:formula1>
    </x:dataValidation>
    <x:dataValidation type="list" sqref="V6:Y105">
      <x:formula1>"满分档,中间档,0分档"</x:formula1>
    </x:dataValidation>
    <x:dataValidation type="list" sqref="Z6:Z105">
      <x:formula1>"满分档,中间档,0分档,不适用"</x:formula1>
    </x:dataValidation>
    <x:dataValidation type="list" sqref="AK6:AN105">
      <x:formula1>"突出档,达标档,0分档"</x:formula1>
    </x:dataValidation>
    <x:dataValidation type="list" sqref="BB6:BB105">
      <x:formula1>"草稿,待PM确认,待Owner确认,已初评,待修正,已锁定"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be6115ec234be7"/>
  </x:tableParts>
</x:worksheet>
</file>